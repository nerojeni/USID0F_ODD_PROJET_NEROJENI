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  <sheet name="TCD" sheetId="3" state="visible" r:id="rId3"/>
    <sheet name="Correlations" sheetId="4" state="visible" r:id="rId4"/>
    <sheet name="CALC" sheetId="5" state="visible" r:id="rId5"/>
    <sheet name="TDB_1" sheetId="6" state="visible" r:id="rId6"/>
    <sheet name="TDB_2" sheetId="7" state="visible" r:id="rId7"/>
    <sheet name="TAB_CROISE_DYNAMIQU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C0C0C0"/>
        <bgColor rgb="00C0C0C0"/>
      </patternFill>
    </fill>
    <fill>
      <patternFill patternType="solid">
        <fgColor rgb="0070AD47"/>
        <bgColor rgb="0070AD47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  <fill>
      <patternFill patternType="solid">
        <fgColor rgb="00FFC000"/>
        <bgColor rgb="00FFC000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" fillId="3" borderId="0" pivotButton="0" quotePrefix="0" xfId="0"/>
    <xf numFmtId="0" fontId="3" fillId="4" borderId="1" pivotButton="0" quotePrefix="0" xfId="0"/>
    <xf numFmtId="0" fontId="1" fillId="5" borderId="1" pivotButton="0" quotePrefix="0" xfId="0"/>
    <xf numFmtId="1" fontId="0" fillId="0" borderId="1" pivotButton="0" quotePrefix="0" xfId="0"/>
    <xf numFmtId="2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6" borderId="0" pivotButton="0" quotePrefix="0" xfId="0"/>
    <xf numFmtId="0" fontId="3" fillId="4" borderId="0" pivotButton="0" quotePrefix="0" xfId="0"/>
    <xf numFmtId="0" fontId="1" fillId="5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Niveau d'addiction (Filtré)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'TAB_CROISE_DYNAMIQUE'!A72</f>
            </strRef>
          </tx>
          <spPr>
            <a:ln>
              <a:prstDash val="solid"/>
            </a:ln>
          </spPr>
          <cat>
            <numRef>
              <f>'TAB_CROISE_DYNAMIQUE'!$B$71:$H$71</f>
            </numRef>
          </cat>
          <val>
            <numRef>
              <f>'TAB_CROISE_DYNAMIQUE'!$B$72:$H$72</f>
            </numRef>
          </val>
        </ser>
        <ser>
          <idx val="1"/>
          <order val="1"/>
          <tx>
            <strRef>
              <f>'TAB_CROISE_DYNAMIQUE'!A73</f>
            </strRef>
          </tx>
          <spPr>
            <a:ln>
              <a:prstDash val="solid"/>
            </a:ln>
          </spPr>
          <cat>
            <numRef>
              <f>'TAB_CROISE_DYNAMIQUE'!$B$71:$H$71</f>
            </numRef>
          </cat>
          <val>
            <numRef>
              <f>'TAB_CROISE_DYNAMIQUE'!$B$73:$H$73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9259c06c9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9259c052b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9259c0573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9259c0699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 de filles dépressives</t>
        </is>
      </c>
      <c r="B1">
        <f>COUNTIFS(DATA!M:M,1,DATA!B:B,"female")</f>
        <v/>
      </c>
    </row>
    <row r="2">
      <c r="A2" t="inlineStr">
        <is>
          <t>Nombre de garçons dépressifs</t>
        </is>
      </c>
      <c r="B2">
        <f>COUNTIFS(DATA!M:M,1,DATA!B:B,"male")</f>
        <v/>
      </c>
    </row>
    <row r="3">
      <c r="A3" t="inlineStr">
        <is>
          <t>Niveau d'addiction moyen chez les filles</t>
        </is>
      </c>
      <c r="B3">
        <f>AVERAGEIF(DATA!B:B,"female",DATA!L:L)</f>
        <v/>
      </c>
    </row>
    <row r="4">
      <c r="A4" t="inlineStr">
        <is>
          <t>Niveau d'addiction moyen chez les garçons</t>
        </is>
      </c>
      <c r="B4">
        <f>AVERAGEIF(DATA!B:B,"male",DATA!L:L)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3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t="inlineStr">
        <is>
          <t>Niveau de dépression selon l'âge</t>
        </is>
      </c>
    </row>
    <row r="2">
      <c r="A2" t="inlineStr">
        <is>
          <t>Age</t>
        </is>
      </c>
      <c r="B2" t="inlineStr">
        <is>
          <t>Nb depressifs</t>
        </is>
      </c>
    </row>
    <row r="3">
      <c r="A3" t="n">
        <v>13</v>
      </c>
      <c r="B3" t="n">
        <v>4</v>
      </c>
    </row>
    <row r="4">
      <c r="A4" t="n">
        <v>14</v>
      </c>
      <c r="B4" t="n">
        <v>3</v>
      </c>
    </row>
    <row r="5">
      <c r="A5" t="n">
        <v>15</v>
      </c>
      <c r="B5" t="n">
        <v>8</v>
      </c>
    </row>
    <row r="6">
      <c r="A6" t="n">
        <v>16</v>
      </c>
      <c r="B6" t="n">
        <v>4</v>
      </c>
    </row>
    <row r="7">
      <c r="A7" t="n">
        <v>17</v>
      </c>
      <c r="B7" t="n">
        <v>2</v>
      </c>
    </row>
    <row r="8">
      <c r="A8" t="n">
        <v>18</v>
      </c>
      <c r="B8" t="n">
        <v>4</v>
      </c>
    </row>
    <row r="9">
      <c r="A9" t="n">
        <v>19</v>
      </c>
      <c r="B9" t="n">
        <v>6</v>
      </c>
    </row>
    <row r="13">
      <c r="A13" t="inlineStr">
        <is>
          <t>Niveau d'addiction moyen selon l'âge et le genre</t>
        </is>
      </c>
    </row>
    <row r="14">
      <c r="A14" t="inlineStr">
        <is>
          <t>Age</t>
        </is>
      </c>
      <c r="B14" t="inlineStr">
        <is>
          <t>Addiction moy. Filles</t>
        </is>
      </c>
      <c r="C14" t="inlineStr">
        <is>
          <t>Addiction moy. Garcons</t>
        </is>
      </c>
    </row>
    <row r="15">
      <c r="A15" t="n">
        <v>13</v>
      </c>
      <c r="B15" t="n">
        <v>5.63</v>
      </c>
      <c r="C15" t="n">
        <v>5.84</v>
      </c>
    </row>
    <row r="16">
      <c r="A16" t="n">
        <v>14</v>
      </c>
      <c r="B16" t="n">
        <v>5.44</v>
      </c>
      <c r="C16" t="n">
        <v>4.96</v>
      </c>
    </row>
    <row r="17">
      <c r="A17" t="n">
        <v>15</v>
      </c>
      <c r="B17" t="n">
        <v>5.03</v>
      </c>
      <c r="C17" t="n">
        <v>5.53</v>
      </c>
    </row>
    <row r="18">
      <c r="A18" t="n">
        <v>16</v>
      </c>
      <c r="B18" t="n">
        <v>5.18</v>
      </c>
      <c r="C18" t="n">
        <v>5.62</v>
      </c>
    </row>
    <row r="19">
      <c r="A19" t="n">
        <v>17</v>
      </c>
      <c r="B19" t="n">
        <v>5.8</v>
      </c>
      <c r="C19" t="n">
        <v>5.75</v>
      </c>
    </row>
    <row r="20">
      <c r="A20" t="n">
        <v>18</v>
      </c>
      <c r="B20" t="n">
        <v>5.15</v>
      </c>
      <c r="C20" t="n">
        <v>5.97</v>
      </c>
    </row>
    <row r="21">
      <c r="A21" t="n">
        <v>19</v>
      </c>
      <c r="B21" t="n">
        <v>6.2</v>
      </c>
      <c r="C21" t="n">
        <v>5.68</v>
      </c>
    </row>
    <row r="25">
      <c r="A25" t="inlineStr">
        <is>
          <t>Nombre de dépressions selon le temps de sommeil et l'interaction sociale</t>
        </is>
      </c>
    </row>
    <row r="26">
      <c r="A26" t="inlineStr">
        <is>
          <t>Interaction sociale/Temps de Sommeil</t>
        </is>
      </c>
      <c r="B26" t="inlineStr">
        <is>
          <t>&lt;5h</t>
        </is>
      </c>
      <c r="C26" t="inlineStr">
        <is>
          <t>5-6h</t>
        </is>
      </c>
      <c r="D26" t="inlineStr">
        <is>
          <t>6-7h</t>
        </is>
      </c>
      <c r="E26" t="inlineStr">
        <is>
          <t>7-8h</t>
        </is>
      </c>
      <c r="F26" t="inlineStr">
        <is>
          <t>&gt;8h</t>
        </is>
      </c>
    </row>
    <row r="27">
      <c r="A27" t="inlineStr">
        <is>
          <t>high</t>
        </is>
      </c>
      <c r="B27" t="n">
        <v>7</v>
      </c>
      <c r="C27" t="n">
        <v>3</v>
      </c>
      <c r="D27" t="n">
        <v>0</v>
      </c>
      <c r="E27" t="n">
        <v>0</v>
      </c>
      <c r="F27" t="n">
        <v>0</v>
      </c>
    </row>
    <row r="28">
      <c r="A28" t="inlineStr">
        <is>
          <t>low</t>
        </is>
      </c>
      <c r="B28" t="n">
        <v>6</v>
      </c>
      <c r="C28" t="n">
        <v>3</v>
      </c>
      <c r="D28" t="n">
        <v>0</v>
      </c>
      <c r="E28" t="n">
        <v>0</v>
      </c>
      <c r="F28" t="n">
        <v>0</v>
      </c>
    </row>
    <row r="29">
      <c r="A29" t="inlineStr">
        <is>
          <t>medium</t>
        </is>
      </c>
      <c r="B29" t="n">
        <v>9</v>
      </c>
      <c r="C29" t="n">
        <v>3</v>
      </c>
      <c r="D29" t="n">
        <v>0</v>
      </c>
      <c r="E29" t="n">
        <v>0</v>
      </c>
      <c r="F29" t="n">
        <v>0</v>
      </c>
    </row>
    <row r="33">
      <c r="A33" t="inlineStr">
        <is>
          <t>Répartition du niveau d'addiction selon l'âge</t>
        </is>
      </c>
    </row>
    <row r="34">
      <c r="A34" t="inlineStr">
        <is>
          <t>Age</t>
        </is>
      </c>
      <c r="B34" t="inlineStr">
        <is>
          <t>Q1</t>
        </is>
      </c>
      <c r="C34" t="inlineStr">
        <is>
          <t>Mediane</t>
        </is>
      </c>
      <c r="D34" t="inlineStr">
        <is>
          <t>Q3</t>
        </is>
      </c>
      <c r="E34" t="inlineStr">
        <is>
          <t>Min</t>
        </is>
      </c>
      <c r="F34" t="inlineStr">
        <is>
          <t>Max</t>
        </is>
      </c>
      <c r="G34" t="inlineStr">
        <is>
          <t>Moyenne</t>
        </is>
      </c>
      <c r="H34" t="inlineStr">
        <is>
          <t>IQR</t>
        </is>
      </c>
    </row>
    <row r="35">
      <c r="A35" t="n">
        <v>13</v>
      </c>
      <c r="B35" t="n">
        <v>3</v>
      </c>
      <c r="C35" t="n">
        <v>6</v>
      </c>
      <c r="D35" t="n">
        <v>8</v>
      </c>
      <c r="E35" t="n">
        <v>1</v>
      </c>
      <c r="F35" t="n">
        <v>10</v>
      </c>
      <c r="G35" t="n">
        <v>5.74</v>
      </c>
      <c r="H35" t="n">
        <v>5</v>
      </c>
    </row>
    <row r="36">
      <c r="A36" t="n">
        <v>14</v>
      </c>
      <c r="B36" t="n">
        <v>3</v>
      </c>
      <c r="C36" t="n">
        <v>5</v>
      </c>
      <c r="D36" t="n">
        <v>8</v>
      </c>
      <c r="E36" t="n">
        <v>1</v>
      </c>
      <c r="F36" t="n">
        <v>10</v>
      </c>
      <c r="G36" t="n">
        <v>5.2</v>
      </c>
      <c r="H36" t="n">
        <v>5</v>
      </c>
    </row>
    <row r="37">
      <c r="A37" t="n">
        <v>15</v>
      </c>
      <c r="B37" t="n">
        <v>3</v>
      </c>
      <c r="C37" t="n">
        <v>5</v>
      </c>
      <c r="D37" t="n">
        <v>7</v>
      </c>
      <c r="E37" t="n">
        <v>1</v>
      </c>
      <c r="F37" t="n">
        <v>10</v>
      </c>
      <c r="G37" t="n">
        <v>5.28</v>
      </c>
      <c r="H37" t="n">
        <v>4</v>
      </c>
    </row>
    <row r="38">
      <c r="A38" t="n">
        <v>16</v>
      </c>
      <c r="B38" t="n">
        <v>3</v>
      </c>
      <c r="C38" t="n">
        <v>5</v>
      </c>
      <c r="D38" t="n">
        <v>8</v>
      </c>
      <c r="E38" t="n">
        <v>1</v>
      </c>
      <c r="F38" t="n">
        <v>10</v>
      </c>
      <c r="G38" t="n">
        <v>5.41</v>
      </c>
      <c r="H38" t="n">
        <v>5</v>
      </c>
    </row>
    <row r="39">
      <c r="A39" t="n">
        <v>17</v>
      </c>
      <c r="B39" t="n">
        <v>3</v>
      </c>
      <c r="C39" t="n">
        <v>6</v>
      </c>
      <c r="D39" t="n">
        <v>8</v>
      </c>
      <c r="E39" t="n">
        <v>1</v>
      </c>
      <c r="F39" t="n">
        <v>10</v>
      </c>
      <c r="G39" t="n">
        <v>5.78</v>
      </c>
      <c r="H39" t="n">
        <v>5</v>
      </c>
    </row>
    <row r="40">
      <c r="A40" t="n">
        <v>18</v>
      </c>
      <c r="B40" t="n">
        <v>3</v>
      </c>
      <c r="C40" t="n">
        <v>5.5</v>
      </c>
      <c r="D40" t="n">
        <v>8</v>
      </c>
      <c r="E40" t="n">
        <v>1</v>
      </c>
      <c r="F40" t="n">
        <v>10</v>
      </c>
      <c r="G40" t="n">
        <v>5.58</v>
      </c>
      <c r="H40" t="n">
        <v>5</v>
      </c>
    </row>
    <row r="41">
      <c r="A41" t="n">
        <v>19</v>
      </c>
      <c r="B41" t="n">
        <v>4</v>
      </c>
      <c r="C41" t="n">
        <v>6</v>
      </c>
      <c r="D41" t="n">
        <v>8</v>
      </c>
      <c r="E41" t="n">
        <v>1</v>
      </c>
      <c r="F41" t="n">
        <v>10</v>
      </c>
      <c r="G41" t="n">
        <v>5.91</v>
      </c>
      <c r="H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sheetData>
    <row r="1">
      <c r="A1" s="2" t="inlineStr">
        <is>
          <t>Genre</t>
        </is>
      </c>
      <c r="B1" s="3" t="n"/>
      <c r="C1" s="4" t="inlineStr">
        <is>
          <t>female</t>
        </is>
      </c>
    </row>
    <row r="2">
      <c r="A2" s="5" t="n"/>
      <c r="B2" s="6" t="n"/>
    </row>
    <row r="4">
      <c r="A4" s="2" t="inlineStr">
        <is>
          <t>Âge</t>
        </is>
      </c>
      <c r="B4" s="3" t="n"/>
      <c r="C4" s="4" t="inlineStr">
        <is>
          <t>18</t>
        </is>
      </c>
    </row>
    <row r="5">
      <c r="A5" s="5" t="n"/>
      <c r="B5" s="6" t="n"/>
    </row>
    <row r="7">
      <c r="A7" s="2" t="inlineStr">
        <is>
          <t>Plateforme</t>
        </is>
      </c>
      <c r="B7" s="3" t="n"/>
      <c r="C7" s="4" t="inlineStr">
        <is>
          <t>Instagram</t>
        </is>
      </c>
    </row>
    <row r="8">
      <c r="A8" s="5" t="n"/>
      <c r="B8" s="6" t="n"/>
    </row>
    <row r="10">
      <c r="A10" s="2" t="inlineStr">
        <is>
          <t>Interaction</t>
        </is>
      </c>
      <c r="B10" s="3" t="n"/>
      <c r="C10" s="4" t="inlineStr">
        <is>
          <t>High</t>
        </is>
      </c>
    </row>
    <row r="11">
      <c r="A11" s="5" t="n"/>
      <c r="B11" s="6" t="n"/>
    </row>
  </sheetData>
  <mergeCells count="4">
    <mergeCell ref="A1:B2"/>
    <mergeCell ref="A10:B11"/>
    <mergeCell ref="A7:B8"/>
    <mergeCell ref="A4:B5"/>
  </mergeCells>
  <dataValidations count="5">
    <dataValidation sqref="C1" showDropDown="0" showInputMessage="0" showErrorMessage="0" allowBlank="0" type="list">
      <formula1>=CALC!$A$2:$A$3</formula1>
    </dataValidation>
    <dataValidation sqref="C1" showDropDown="0" showInputMessage="0" showErrorMessage="0" allowBlank="0" type="list">
      <formula1>=CALC!$A$2:$A$4</formula1>
    </dataValidation>
    <dataValidation sqref="C4" showDropDown="0" showInputMessage="0" showErrorMessage="0" allowBlank="0" type="list">
      <formula1>=CALC!$C$2:$C$9</formula1>
    </dataValidation>
    <dataValidation sqref="C7" showDropDown="0" showInputMessage="0" showErrorMessage="0" allowBlank="0" type="list">
      <formula1>=CALC!$E$2:$E$5</formula1>
    </dataValidation>
    <dataValidation sqref="C10" showDropDown="0" showInputMessage="0" showErrorMessage="0" allowBlank="0" type="list">
      <formula1>=CALC!$G$2:$G$5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sheetData>
    <row r="1">
      <c r="A1" s="2" t="inlineStr">
        <is>
          <t>Genre</t>
        </is>
      </c>
      <c r="B1" s="3" t="n"/>
      <c r="C1" s="4" t="inlineStr">
        <is>
          <t>female</t>
        </is>
      </c>
    </row>
    <row r="2">
      <c r="A2" s="5" t="n"/>
      <c r="B2" s="6" t="n"/>
    </row>
    <row r="4">
      <c r="A4" s="2" t="inlineStr">
        <is>
          <t>Âge</t>
        </is>
      </c>
      <c r="B4" s="3" t="n"/>
      <c r="C4" s="4" t="inlineStr">
        <is>
          <t>18</t>
        </is>
      </c>
    </row>
    <row r="5">
      <c r="A5" s="5" t="n"/>
      <c r="B5" s="6" t="n"/>
    </row>
  </sheetData>
  <mergeCells count="2">
    <mergeCell ref="A1:B2"/>
    <mergeCell ref="A4:B5"/>
  </mergeCells>
  <dataValidations count="2">
    <dataValidation sqref="C1" showDropDown="0" showInputMessage="0" showErrorMessage="0" allowBlank="0" type="list">
      <formula1>=CALC!$A$2:$A$4</formula1>
    </dataValidation>
    <dataValidation sqref="C4" showDropDown="0" showInputMessage="0" showErrorMessage="0" allowBlank="0" type="list">
      <formula1>=CALC!$C$2:$C$9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7" t="inlineStr">
        <is>
          <t>Dépression par Âge et Genre</t>
        </is>
      </c>
      <c r="K1" t="inlineStr">
        <is>
          <t>Réseau le plus utilisé</t>
        </is>
      </c>
      <c r="L1">
        <f t="array" ref="L1">INDEX(DATA!$D$2:$D$1201, MATCH(MAX(COUNTIFS(DATA!$D$2:$D$1201, DATA!$D$2:$D$1201, DATA!$D$2:$D$1201, "&lt;&gt;Both")), COUNTIFS(DATA!$D$2:$D$1201, DATA!$D$2:$D$1201, DATA!$D$2:$D$1201, "&lt;&gt;Both"), 0))</f>
        <v/>
      </c>
    </row>
    <row r="2">
      <c r="A2" s="8" t="inlineStr">
        <is>
          <t>Genre</t>
        </is>
      </c>
      <c r="B2" s="8">
        <f>IFERROR(INDEX(CALC!$C$2:$C$1000,1),"")</f>
        <v/>
      </c>
      <c r="C2" s="8">
        <f>IFERROR(INDEX(CALC!$C$2:$C$1000,2),"")</f>
        <v/>
      </c>
      <c r="D2" s="8">
        <f>IFERROR(INDEX(CALC!$C$2:$C$1000,3),"")</f>
        <v/>
      </c>
      <c r="E2" s="8">
        <f>IFERROR(INDEX(CALC!$C$2:$C$1000,4),"")</f>
        <v/>
      </c>
      <c r="F2" s="8">
        <f>IFERROR(INDEX(CALC!$C$2:$C$1000,5),"")</f>
        <v/>
      </c>
      <c r="G2" s="8">
        <f>IFERROR(INDEX(CALC!$C$2:$C$1000,6),"")</f>
        <v/>
      </c>
      <c r="H2" s="8">
        <f>IFERROR(INDEX(CALC!$C$2:$C$1000,7),"")</f>
        <v/>
      </c>
      <c r="K2" t="inlineStr">
        <is>
          <t>Perf sco moyenne - dépressifs</t>
        </is>
      </c>
      <c r="L2">
        <f>AVERAGEIF(DATA!M:M, 1, DATA!G:G)</f>
        <v/>
      </c>
    </row>
    <row r="3">
      <c r="A3" s="9">
        <f>IFERROR(INDEX(CALC!$A$2:$A$1000,1),"")</f>
        <v/>
      </c>
      <c r="B3" s="10">
        <f>IFERROR(COUNTIFS(DATA!$M:$M,1,DATA!$A:$A,$B$2,DATA!$B:$B,$A3),0)</f>
        <v/>
      </c>
      <c r="C3" s="10">
        <f>IFERROR(COUNTIFS(DATA!$M:$M,1,DATA!$A:$A,$C$2,DATA!$B:$B,$A3),0)</f>
        <v/>
      </c>
      <c r="D3" s="10">
        <f>IFERROR(COUNTIFS(DATA!$M:$M,1,DATA!$A:$A,$D$2,DATA!$B:$B,$A3),0)</f>
        <v/>
      </c>
      <c r="E3" s="10">
        <f>IFERROR(COUNTIFS(DATA!$M:$M,1,DATA!$A:$A,$E$2,DATA!$B:$B,$A3),0)</f>
        <v/>
      </c>
      <c r="F3" s="10">
        <f>IFERROR(COUNTIFS(DATA!$M:$M,1,DATA!$A:$A,$F$2,DATA!$B:$B,$A3),0)</f>
        <v/>
      </c>
      <c r="G3" s="10">
        <f>IFERROR(COUNTIFS(DATA!$M:$M,1,DATA!$A:$A,$G$2,DATA!$B:$B,$A3),0)</f>
        <v/>
      </c>
      <c r="H3" s="10">
        <f>IFERROR(COUNTIFS(DATA!$M:$M,1,DATA!$A:$A,$H$2,DATA!$B:$B,$A3),0)</f>
        <v/>
      </c>
    </row>
    <row r="4">
      <c r="A4" s="9">
        <f>IFERROR(INDEX(CALC!$A$2:$A$1000,2),"")</f>
        <v/>
      </c>
      <c r="B4" s="10">
        <f>IFERROR(COUNTIFS(DATA!$M:$M,1,DATA!$A:$A,$B$2,DATA!$B:$B,$A4),0)</f>
        <v/>
      </c>
      <c r="C4" s="10">
        <f>IFERROR(COUNTIFS(DATA!$M:$M,1,DATA!$A:$A,$C$2,DATA!$B:$B,$A4),0)</f>
        <v/>
      </c>
      <c r="D4" s="10">
        <f>IFERROR(COUNTIFS(DATA!$M:$M,1,DATA!$A:$A,$D$2,DATA!$B:$B,$A4),0)</f>
        <v/>
      </c>
      <c r="E4" s="10">
        <f>IFERROR(COUNTIFS(DATA!$M:$M,1,DATA!$A:$A,$E$2,DATA!$B:$B,$A4),0)</f>
        <v/>
      </c>
      <c r="F4" s="10">
        <f>IFERROR(COUNTIFS(DATA!$M:$M,1,DATA!$A:$A,$F$2,DATA!$B:$B,$A4),0)</f>
        <v/>
      </c>
      <c r="G4" s="10">
        <f>IFERROR(COUNTIFS(DATA!$M:$M,1,DATA!$A:$A,$G$2,DATA!$B:$B,$A4),0)</f>
        <v/>
      </c>
      <c r="H4" s="10">
        <f>IFERROR(COUNTIFS(DATA!$M:$M,1,DATA!$A:$A,$H$2,DATA!$B:$B,$A4),0)</f>
        <v/>
      </c>
    </row>
    <row r="10">
      <c r="A10" s="7" t="inlineStr">
        <is>
          <t>Addiction moyenne par Âge et Genre</t>
        </is>
      </c>
    </row>
    <row r="11">
      <c r="A11" s="8" t="inlineStr">
        <is>
          <t>Genre</t>
        </is>
      </c>
      <c r="B11" s="8">
        <f>IFERROR(INDEX(CALC!$C$2:$C$1000,1),"")</f>
        <v/>
      </c>
      <c r="C11" s="8">
        <f>IFERROR(INDEX(CALC!$C$2:$C$1000,2),"")</f>
        <v/>
      </c>
      <c r="D11" s="8">
        <f>IFERROR(INDEX(CALC!$C$2:$C$1000,3),"")</f>
        <v/>
      </c>
      <c r="E11" s="8">
        <f>IFERROR(INDEX(CALC!$C$2:$C$1000,4),"")</f>
        <v/>
      </c>
      <c r="F11" s="8">
        <f>IFERROR(INDEX(CALC!$C$2:$C$1000,5),"")</f>
        <v/>
      </c>
      <c r="G11" s="8">
        <f>IFERROR(INDEX(CALC!$C$2:$C$1000,6),"")</f>
        <v/>
      </c>
      <c r="H11" s="8">
        <f>IFERROR(INDEX(CALC!$C$2:$C$1000,7),"")</f>
        <v/>
      </c>
    </row>
    <row r="12">
      <c r="A12" s="9">
        <f>IFERROR(INDEX(CALC!$A$2:$A$1000,1),"")</f>
        <v/>
      </c>
      <c r="B12" s="11">
        <f>IFERROR(AVERAGEIFS(DATA!$L:$L,DATA!$A:$A,$B$11,DATA!$B:$B,$A12),0)</f>
        <v/>
      </c>
      <c r="C12" s="11">
        <f>IFERROR(AVERAGEIFS(DATA!$L:$L,DATA!$A:$A,$C$11,DATA!$B:$B,$A12),0)</f>
        <v/>
      </c>
      <c r="D12" s="11">
        <f>IFERROR(AVERAGEIFS(DATA!$L:$L,DATA!$A:$A,$D$11,DATA!$B:$B,$A12),0)</f>
        <v/>
      </c>
      <c r="E12" s="11">
        <f>IFERROR(AVERAGEIFS(DATA!$L:$L,DATA!$A:$A,$E$11,DATA!$B:$B,$A12),0)</f>
        <v/>
      </c>
      <c r="F12" s="11">
        <f>IFERROR(AVERAGEIFS(DATA!$L:$L,DATA!$A:$A,$F$11,DATA!$B:$B,$A12),0)</f>
        <v/>
      </c>
      <c r="G12" s="11">
        <f>IFERROR(AVERAGEIFS(DATA!$L:$L,DATA!$A:$A,$G$11,DATA!$B:$B,$A12),0)</f>
        <v/>
      </c>
      <c r="H12" s="11">
        <f>IFERROR(AVERAGEIFS(DATA!$L:$L,DATA!$A:$A,$H$11,DATA!$B:$B,$A12),0)</f>
        <v/>
      </c>
    </row>
    <row r="13">
      <c r="A13" s="9">
        <f>IFERROR(INDEX(CALC!$A$2:$A$1000,2),"")</f>
        <v/>
      </c>
      <c r="B13" s="11">
        <f>IFERROR(AVERAGEIFS(DATA!$L:$L,DATA!$A:$A,$B$11,DATA!$B:$B,$A13),0)</f>
        <v/>
      </c>
      <c r="C13" s="11">
        <f>IFERROR(AVERAGEIFS(DATA!$L:$L,DATA!$A:$A,$C$11,DATA!$B:$B,$A13),0)</f>
        <v/>
      </c>
      <c r="D13" s="11">
        <f>IFERROR(AVERAGEIFS(DATA!$L:$L,DATA!$A:$A,$D$11,DATA!$B:$B,$A13),0)</f>
        <v/>
      </c>
      <c r="E13" s="11">
        <f>IFERROR(AVERAGEIFS(DATA!$L:$L,DATA!$A:$A,$E$11,DATA!$B:$B,$A13),0)</f>
        <v/>
      </c>
      <c r="F13" s="11">
        <f>IFERROR(AVERAGEIFS(DATA!$L:$L,DATA!$A:$A,$F$11,DATA!$B:$B,$A13),0)</f>
        <v/>
      </c>
      <c r="G13" s="11">
        <f>IFERROR(AVERAGEIFS(DATA!$L:$L,DATA!$A:$A,$G$11,DATA!$B:$B,$A13),0)</f>
        <v/>
      </c>
      <c r="H13" s="11">
        <f>IFERROR(AVERAGEIFS(DATA!$L:$L,DATA!$A:$A,$H$11,DATA!$B:$B,$A13),0)</f>
        <v/>
      </c>
    </row>
    <row r="16">
      <c r="A16" s="7" t="inlineStr">
        <is>
          <t>Répartition de l'addiction selon l'âge</t>
        </is>
      </c>
    </row>
    <row r="17">
      <c r="A17" s="12" t="inlineStr">
        <is>
          <t>Âge</t>
        </is>
      </c>
      <c r="B17" s="12" t="inlineStr">
        <is>
          <t>Min</t>
        </is>
      </c>
      <c r="C17" s="12" t="inlineStr">
        <is>
          <t>Q1</t>
        </is>
      </c>
      <c r="D17" s="12" t="inlineStr">
        <is>
          <t>Médiane</t>
        </is>
      </c>
      <c r="E17" s="12" t="inlineStr">
        <is>
          <t>Q3</t>
        </is>
      </c>
      <c r="F17" s="12" t="inlineStr">
        <is>
          <t>Max</t>
        </is>
      </c>
      <c r="G17" s="12" t="inlineStr">
        <is>
          <t>Moyenne</t>
        </is>
      </c>
    </row>
    <row r="18">
      <c r="A18" s="13">
        <f>IFERROR(INDEX(CALC!$C$2:$C$1000,1),"")</f>
        <v/>
      </c>
      <c r="B18" s="14">
        <f t="array" ref="B18">MIN(IF(DATA!$A$2:$A$1201=$A18, DATA!$L$2:$L$1201))</f>
        <v/>
      </c>
      <c r="C18" s="14">
        <f t="array" ref="C18">QUARTILE(IF(DATA!$A$2:$A$1201=$A18, DATA!$L$2:$L$1201), 1)</f>
        <v/>
      </c>
      <c r="D18" s="14">
        <f t="array" ref="D18">MEDIAN(IF(DATA!$A$2:$A$1201=$A18, DATA!$L$2:$L$1201))</f>
        <v/>
      </c>
      <c r="E18" s="14">
        <f t="array" ref="E18">QUARTILE(IF(DATA!$A$2:$A$1201=$A18, DATA!$L$2:$L$1201), 3)</f>
        <v/>
      </c>
      <c r="F18" s="14">
        <f t="array" ref="F18">MAX(IF(DATA!$A$2:$A$1201=$A18, DATA!$L$2:$L$1201))</f>
        <v/>
      </c>
      <c r="G18" s="14">
        <f>AVERAGEIFS(DATA!$L$2:$L$1201, DATA!$A$2:$A$1201, $A18)</f>
        <v/>
      </c>
    </row>
    <row r="19">
      <c r="A19" s="13">
        <f>IFERROR(INDEX(CALC!$C$2:$C$1000,2),"")</f>
        <v/>
      </c>
      <c r="B19" s="14">
        <f t="array" ref="B19">MIN(IF(DATA!$A$2:$A$1201=$A19, DATA!$L$2:$L$1201))</f>
        <v/>
      </c>
      <c r="C19" s="14">
        <f t="array" ref="C19">QUARTILE(IF(DATA!$A$2:$A$1201=$A19, DATA!$L$2:$L$1201), 1)</f>
        <v/>
      </c>
      <c r="D19" s="14">
        <f t="array" ref="D19">MEDIAN(IF(DATA!$A$2:$A$1201=$A19, DATA!$L$2:$L$1201))</f>
        <v/>
      </c>
      <c r="E19" s="14">
        <f t="array" ref="E19">QUARTILE(IF(DATA!$A$2:$A$1201=$A19, DATA!$L$2:$L$1201), 3)</f>
        <v/>
      </c>
      <c r="F19" s="14">
        <f t="array" ref="F19">MAX(IF(DATA!$A$2:$A$1201=$A19, DATA!$L$2:$L$1201))</f>
        <v/>
      </c>
      <c r="G19" s="14">
        <f>AVERAGEIFS(DATA!$L$2:$L$1201, DATA!$A$2:$A$1201, $A19)</f>
        <v/>
      </c>
    </row>
    <row r="20">
      <c r="A20" s="13">
        <f>IFERROR(INDEX(CALC!$C$2:$C$1000,3),"")</f>
        <v/>
      </c>
      <c r="B20" s="14">
        <f t="array" ref="B20">MIN(IF(DATA!$A$2:$A$1201=$A20, DATA!$L$2:$L$1201))</f>
        <v/>
      </c>
      <c r="C20" s="14">
        <f t="array" ref="C20">QUARTILE(IF(DATA!$A$2:$A$1201=$A20, DATA!$L$2:$L$1201), 1)</f>
        <v/>
      </c>
      <c r="D20" s="14">
        <f t="array" ref="D20">MEDIAN(IF(DATA!$A$2:$A$1201=$A20, DATA!$L$2:$L$1201))</f>
        <v/>
      </c>
      <c r="E20" s="14">
        <f t="array" ref="E20">QUARTILE(IF(DATA!$A$2:$A$1201=$A20, DATA!$L$2:$L$1201), 3)</f>
        <v/>
      </c>
      <c r="F20" s="14">
        <f t="array" ref="F20">MAX(IF(DATA!$A$2:$A$1201=$A20, DATA!$L$2:$L$1201))</f>
        <v/>
      </c>
      <c r="G20" s="14">
        <f>AVERAGEIFS(DATA!$L$2:$L$1201, DATA!$A$2:$A$1201, $A20)</f>
        <v/>
      </c>
    </row>
    <row r="21">
      <c r="A21" s="13">
        <f>IFERROR(INDEX(CALC!$C$2:$C$1000,4),"")</f>
        <v/>
      </c>
      <c r="B21" s="14">
        <f t="array" ref="B21">MIN(IF(DATA!$A$2:$A$1201=$A21, DATA!$L$2:$L$1201))</f>
        <v/>
      </c>
      <c r="C21" s="14">
        <f t="array" ref="C21">QUARTILE(IF(DATA!$A$2:$A$1201=$A21, DATA!$L$2:$L$1201), 1)</f>
        <v/>
      </c>
      <c r="D21" s="14">
        <f t="array" ref="D21">MEDIAN(IF(DATA!$A$2:$A$1201=$A21, DATA!$L$2:$L$1201))</f>
        <v/>
      </c>
      <c r="E21" s="14">
        <f t="array" ref="E21">QUARTILE(IF(DATA!$A$2:$A$1201=$A21, DATA!$L$2:$L$1201), 3)</f>
        <v/>
      </c>
      <c r="F21" s="14">
        <f t="array" ref="F21">MAX(IF(DATA!$A$2:$A$1201=$A21, DATA!$L$2:$L$1201))</f>
        <v/>
      </c>
      <c r="G21" s="14">
        <f>AVERAGEIFS(DATA!$L$2:$L$1201, DATA!$A$2:$A$1201, $A21)</f>
        <v/>
      </c>
    </row>
    <row r="22">
      <c r="A22" s="13">
        <f>IFERROR(INDEX(CALC!$C$2:$C$1000,5),"")</f>
        <v/>
      </c>
      <c r="B22" s="14">
        <f t="array" ref="B22">MIN(IF(DATA!$A$2:$A$1201=$A22, DATA!$L$2:$L$1201))</f>
        <v/>
      </c>
      <c r="C22" s="14">
        <f t="array" ref="C22">QUARTILE(IF(DATA!$A$2:$A$1201=$A22, DATA!$L$2:$L$1201), 1)</f>
        <v/>
      </c>
      <c r="D22" s="14">
        <f t="array" ref="D22">MEDIAN(IF(DATA!$A$2:$A$1201=$A22, DATA!$L$2:$L$1201))</f>
        <v/>
      </c>
      <c r="E22" s="14">
        <f t="array" ref="E22">QUARTILE(IF(DATA!$A$2:$A$1201=$A22, DATA!$L$2:$L$1201), 3)</f>
        <v/>
      </c>
      <c r="F22" s="14">
        <f t="array" ref="F22">MAX(IF(DATA!$A$2:$A$1201=$A22, DATA!$L$2:$L$1201))</f>
        <v/>
      </c>
      <c r="G22" s="14">
        <f>AVERAGEIFS(DATA!$L$2:$L$1201, DATA!$A$2:$A$1201, $A22)</f>
        <v/>
      </c>
    </row>
    <row r="23">
      <c r="A23" s="13">
        <f>IFERROR(INDEX(CALC!$C$2:$C$1000,6),"")</f>
        <v/>
      </c>
      <c r="B23" s="14">
        <f t="array" ref="B23">MIN(IF(DATA!$A$2:$A$1201=$A23, DATA!$L$2:$L$1201))</f>
        <v/>
      </c>
      <c r="C23" s="14">
        <f t="array" ref="C23">QUARTILE(IF(DATA!$A$2:$A$1201=$A23, DATA!$L$2:$L$1201), 1)</f>
        <v/>
      </c>
      <c r="D23" s="14">
        <f t="array" ref="D23">MEDIAN(IF(DATA!$A$2:$A$1201=$A23, DATA!$L$2:$L$1201))</f>
        <v/>
      </c>
      <c r="E23" s="14">
        <f t="array" ref="E23">QUARTILE(IF(DATA!$A$2:$A$1201=$A23, DATA!$L$2:$L$1201), 3)</f>
        <v/>
      </c>
      <c r="F23" s="14">
        <f t="array" ref="F23">MAX(IF(DATA!$A$2:$A$1201=$A23, DATA!$L$2:$L$1201))</f>
        <v/>
      </c>
      <c r="G23" s="14">
        <f>AVERAGEIFS(DATA!$L$2:$L$1201, DATA!$A$2:$A$1201, $A23)</f>
        <v/>
      </c>
    </row>
    <row r="24">
      <c r="A24" s="13">
        <f>IFERROR(INDEX(CALC!$C$2:$C$1000,7),"")</f>
        <v/>
      </c>
      <c r="B24" s="14">
        <f t="array" ref="B24">MIN(IF(DATA!$A$2:$A$1201=$A24, DATA!$L$2:$L$1201))</f>
        <v/>
      </c>
      <c r="C24" s="14">
        <f t="array" ref="C24">QUARTILE(IF(DATA!$A$2:$A$1201=$A24, DATA!$L$2:$L$1201), 1)</f>
        <v/>
      </c>
      <c r="D24" s="14">
        <f t="array" ref="D24">MEDIAN(IF(DATA!$A$2:$A$1201=$A24, DATA!$L$2:$L$1201))</f>
        <v/>
      </c>
      <c r="E24" s="14">
        <f t="array" ref="E24">QUARTILE(IF(DATA!$A$2:$A$1201=$A24, DATA!$L$2:$L$1201), 3)</f>
        <v/>
      </c>
      <c r="F24" s="14">
        <f t="array" ref="F24">MAX(IF(DATA!$A$2:$A$1201=$A24, DATA!$L$2:$L$1201))</f>
        <v/>
      </c>
      <c r="G24" s="14">
        <f>AVERAGEIFS(DATA!$L$2:$L$1201, DATA!$A$2:$A$1201, $A24)</f>
        <v/>
      </c>
    </row>
    <row r="30">
      <c r="A30" s="7" t="inlineStr">
        <is>
          <t>Nombre de dépressions selon l'âge</t>
        </is>
      </c>
    </row>
    <row r="31">
      <c r="A31" s="12" t="inlineStr">
        <is>
          <t>Âge</t>
        </is>
      </c>
      <c r="B31" s="12" t="inlineStr">
        <is>
          <t>Nb Dépressions</t>
        </is>
      </c>
    </row>
    <row r="32">
      <c r="A32" s="13">
        <f>IFERROR(INDEX(CALC!$C$2:$C$1000,1),"")</f>
        <v/>
      </c>
      <c r="B32" s="15">
        <f>COUNTIFS(DATA!$A$2:$A$1201, $A32, DATA!$M$2:$M$1201, 1)</f>
        <v/>
      </c>
    </row>
    <row r="33">
      <c r="A33" s="13">
        <f>IFERROR(INDEX(CALC!$C$2:$C$1000,2),"")</f>
        <v/>
      </c>
      <c r="B33" s="15">
        <f>COUNTIFS(DATA!$A$2:$A$1201, $A33, DATA!$M$2:$M$1201, 1)</f>
        <v/>
      </c>
    </row>
    <row r="34">
      <c r="A34" s="13">
        <f>IFERROR(INDEX(CALC!$C$2:$C$1000,3),"")</f>
        <v/>
      </c>
      <c r="B34" s="15">
        <f>COUNTIFS(DATA!$A$2:$A$1201, $A34, DATA!$M$2:$M$1201, 1)</f>
        <v/>
      </c>
    </row>
    <row r="35">
      <c r="A35" s="13">
        <f>IFERROR(INDEX(CALC!$C$2:$C$1000,4),"")</f>
        <v/>
      </c>
      <c r="B35" s="15">
        <f>COUNTIFS(DATA!$A$2:$A$1201, $A35, DATA!$M$2:$M$1201, 1)</f>
        <v/>
      </c>
    </row>
    <row r="36">
      <c r="A36" s="13">
        <f>IFERROR(INDEX(CALC!$C$2:$C$1000,5),"")</f>
        <v/>
      </c>
      <c r="B36" s="15">
        <f>COUNTIFS(DATA!$A$2:$A$1201, $A36, DATA!$M$2:$M$1201, 1)</f>
        <v/>
      </c>
    </row>
    <row r="37">
      <c r="A37" s="13">
        <f>IFERROR(INDEX(CALC!$C$2:$C$1000,6),"")</f>
        <v/>
      </c>
      <c r="B37" s="15">
        <f>COUNTIFS(DATA!$A$2:$A$1201, $A37, DATA!$M$2:$M$1201, 1)</f>
        <v/>
      </c>
    </row>
    <row r="38">
      <c r="A38" s="13">
        <f>IFERROR(INDEX(CALC!$C$2:$C$1000,7),"")</f>
        <v/>
      </c>
      <c r="B38" s="15">
        <f>COUNTIFS(DATA!$A$2:$A$1201, $A38, DATA!$M$2:$M$1201, 1)</f>
        <v/>
      </c>
    </row>
    <row r="45">
      <c r="A45" s="7" t="inlineStr">
        <is>
          <t>Performance scolaire selon Genre et Temps d'écran (Réseaux Sociaux)</t>
        </is>
      </c>
    </row>
    <row r="46">
      <c r="A46" s="12" t="inlineStr">
        <is>
          <t>Genre</t>
        </is>
      </c>
      <c r="B46" s="12" t="inlineStr">
        <is>
          <t>&lt; 2h</t>
        </is>
      </c>
      <c r="C46" s="12" t="inlineStr">
        <is>
          <t>2 à 4h</t>
        </is>
      </c>
      <c r="D46" s="12" t="inlineStr">
        <is>
          <t>4 à 6h</t>
        </is>
      </c>
      <c r="E46" s="12" t="inlineStr">
        <is>
          <t>&gt; 6h</t>
        </is>
      </c>
    </row>
    <row r="47">
      <c r="A47" s="9">
        <f>IFERROR(INDEX(CALC!$A$2:$A$1000,1),"")</f>
        <v/>
      </c>
      <c r="B47" s="14">
        <f>IFERROR(AVERAGEIFS(DATA!$G$2:$G$1201, DATA!$B$2:$B$1201, $A47, DATA!$C$2:$C$1201, "&lt;2"), 0)</f>
        <v/>
      </c>
      <c r="C47" s="14">
        <f>IFERROR(AVERAGEIFS(DATA!$G$2:$G$1201, DATA!$B$2:$B$1201, $A47, DATA!$C$2:$C$1201, "&gt;=2", DATA!$C$2:$C$1201, "&lt;4"), 0)</f>
        <v/>
      </c>
      <c r="D47" s="14">
        <f>IFERROR(AVERAGEIFS(DATA!$G$2:$G$1201, DATA!$B$2:$B$1201, $A47, DATA!$C$2:$C$1201, "&gt;=4", DATA!$C$2:$C$1201, "&lt;6"), 0)</f>
        <v/>
      </c>
      <c r="E47" s="14">
        <f>IFERROR(AVERAGEIFS(DATA!$G$2:$G$1201, DATA!$B$2:$B$1201, $A47, DATA!$C$2:$C$1201, "&gt;=6"), 0)</f>
        <v/>
      </c>
    </row>
    <row r="48">
      <c r="A48" s="9">
        <f>IFERROR(INDEX(CALC!$A$2:$A$1000,2),"")</f>
        <v/>
      </c>
      <c r="B48" s="14">
        <f>IFERROR(AVERAGEIFS(DATA!$G$2:$G$1201, DATA!$B$2:$B$1201, $A48, DATA!$C$2:$C$1201, "&lt;2"), 0)</f>
        <v/>
      </c>
      <c r="C48" s="14">
        <f>IFERROR(AVERAGEIFS(DATA!$G$2:$G$1201, DATA!$B$2:$B$1201, $A48, DATA!$C$2:$C$1201, "&gt;=2", DATA!$C$2:$C$1201, "&lt;4"), 0)</f>
        <v/>
      </c>
      <c r="D48" s="14">
        <f>IFERROR(AVERAGEIFS(DATA!$G$2:$G$1201, DATA!$B$2:$B$1201, $A48, DATA!$C$2:$C$1201, "&gt;=4", DATA!$C$2:$C$1201, "&lt;6"), 0)</f>
        <v/>
      </c>
      <c r="E48" s="14">
        <f>IFERROR(AVERAGEIFS(DATA!$G$2:$G$1201, DATA!$B$2:$B$1201, $A48, DATA!$C$2:$C$1201, "&gt;=6"), 0)</f>
        <v/>
      </c>
    </row>
    <row r="55">
      <c r="A55" s="7" t="inlineStr">
        <is>
          <t>Anxiété moyenne par Interaction sociale et Temps de sommeil</t>
        </is>
      </c>
    </row>
    <row r="56">
      <c r="A56" s="12" t="inlineStr">
        <is>
          <t>Interaction</t>
        </is>
      </c>
      <c r="B56" s="12" t="inlineStr">
        <is>
          <t>&lt; 5h</t>
        </is>
      </c>
      <c r="C56" s="12" t="inlineStr">
        <is>
          <t>5 à 6h</t>
        </is>
      </c>
      <c r="D56" s="12" t="inlineStr">
        <is>
          <t>6 à 7h</t>
        </is>
      </c>
      <c r="E56" s="12" t="inlineStr">
        <is>
          <t>7 à 8h</t>
        </is>
      </c>
      <c r="F56" s="12" t="inlineStr">
        <is>
          <t>&gt; 8h</t>
        </is>
      </c>
    </row>
    <row r="57">
      <c r="A57" s="9">
        <f>IFERROR(INDEX(CALC!$G$2:$G$1000,1),"")</f>
        <v/>
      </c>
      <c r="B57" s="14">
        <f>IFERROR(AVERAGEIFS(DATA!$K$2:$K$1201, DATA!$I$2:$I$1201, $A57, DATA!$E$2:$E$1201, "&lt;5"), 0)</f>
        <v/>
      </c>
      <c r="C57" s="14">
        <f>IFERROR(AVERAGEIFS(DATA!$K$2:$K$1201, DATA!$I$2:$I$1201, $A57, DATA!$E$2:$E$1201, "&gt;=5", DATA!$E$2:$E$1201, "&lt;6"), 0)</f>
        <v/>
      </c>
      <c r="D57" s="14">
        <f>IFERROR(AVERAGEIFS(DATA!$K$2:$K$1201, DATA!$I$2:$I$1201, $A57, DATA!$E$2:$E$1201, "&gt;=6", DATA!$E$2:$E$1201, "&lt;7"), 0)</f>
        <v/>
      </c>
      <c r="E57" s="14">
        <f>IFERROR(AVERAGEIFS(DATA!$K$2:$K$1201, DATA!$I$2:$I$1201, $A57, DATA!$E$2:$E$1201, "&gt;=7", DATA!$E$2:$E$1201, "&lt;8"), 0)</f>
        <v/>
      </c>
      <c r="F57" s="14">
        <f>IFERROR(AVERAGEIFS(DATA!$K$2:$K$1201, DATA!$I$2:$I$1201, $A57, DATA!$E$2:$E$1201, "&gt;=8"), 0)</f>
        <v/>
      </c>
    </row>
    <row r="58">
      <c r="A58" s="9">
        <f>IFERROR(INDEX(CALC!$G$2:$G$1000,2),"")</f>
        <v/>
      </c>
      <c r="B58" s="14">
        <f>IFERROR(AVERAGEIFS(DATA!$K$2:$K$1201, DATA!$I$2:$I$1201, $A58, DATA!$E$2:$E$1201, "&lt;5"), 0)</f>
        <v/>
      </c>
      <c r="C58" s="14">
        <f>IFERROR(AVERAGEIFS(DATA!$K$2:$K$1201, DATA!$I$2:$I$1201, $A58, DATA!$E$2:$E$1201, "&gt;=5", DATA!$E$2:$E$1201, "&lt;6"), 0)</f>
        <v/>
      </c>
      <c r="D58" s="14">
        <f>IFERROR(AVERAGEIFS(DATA!$K$2:$K$1201, DATA!$I$2:$I$1201, $A58, DATA!$E$2:$E$1201, "&gt;=6", DATA!$E$2:$E$1201, "&lt;7"), 0)</f>
        <v/>
      </c>
      <c r="E58" s="14">
        <f>IFERROR(AVERAGEIFS(DATA!$K$2:$K$1201, DATA!$I$2:$I$1201, $A58, DATA!$E$2:$E$1201, "&gt;=7", DATA!$E$2:$E$1201, "&lt;8"), 0)</f>
        <v/>
      </c>
      <c r="F58" s="14">
        <f>IFERROR(AVERAGEIFS(DATA!$K$2:$K$1201, DATA!$I$2:$I$1201, $A58, DATA!$E$2:$E$1201, "&gt;=8"), 0)</f>
        <v/>
      </c>
    </row>
    <row r="59">
      <c r="A59" s="9">
        <f>IFERROR(INDEX(CALC!$G$2:$G$1000,3),"")</f>
        <v/>
      </c>
      <c r="B59" s="14">
        <f>IFERROR(AVERAGEIFS(DATA!$K$2:$K$1201, DATA!$I$2:$I$1201, $A59, DATA!$E$2:$E$1201, "&lt;5"), 0)</f>
        <v/>
      </c>
      <c r="C59" s="14">
        <f>IFERROR(AVERAGEIFS(DATA!$K$2:$K$1201, DATA!$I$2:$I$1201, $A59, DATA!$E$2:$E$1201, "&gt;=5", DATA!$E$2:$E$1201, "&lt;6"), 0)</f>
        <v/>
      </c>
      <c r="D59" s="14">
        <f>IFERROR(AVERAGEIFS(DATA!$K$2:$K$1201, DATA!$I$2:$I$1201, $A59, DATA!$E$2:$E$1201, "&gt;=6", DATA!$E$2:$E$1201, "&lt;7"), 0)</f>
        <v/>
      </c>
      <c r="E59" s="14">
        <f>IFERROR(AVERAGEIFS(DATA!$K$2:$K$1201, DATA!$I$2:$I$1201, $A59, DATA!$E$2:$E$1201, "&gt;=7", DATA!$E$2:$E$1201, "&lt;8"), 0)</f>
        <v/>
      </c>
      <c r="F59" s="14">
        <f>IFERROR(AVERAGEIFS(DATA!$K$2:$K$1201, DATA!$I$2:$I$1201, $A59, DATA!$E$2:$E$1201, "&gt;=8"), 0)</f>
        <v/>
      </c>
    </row>
    <row r="70">
      <c r="A70" s="16" t="inlineStr">
        <is>
          <t>ZONE DYNAMIQUE - Graphique 1</t>
        </is>
      </c>
    </row>
    <row r="71">
      <c r="B71" s="17">
        <f>IFERROR(INDEX(CALC!$C$2:$C$1000,1),"")</f>
        <v/>
      </c>
      <c r="C71" s="17">
        <f>IFERROR(INDEX(CALC!$C$2:$C$1000,2),"")</f>
        <v/>
      </c>
      <c r="D71" s="17">
        <f>IFERROR(INDEX(CALC!$C$2:$C$1000,3),"")</f>
        <v/>
      </c>
      <c r="E71" s="17">
        <f>IFERROR(INDEX(CALC!$C$2:$C$1000,4),"")</f>
        <v/>
      </c>
      <c r="F71" s="17">
        <f>IFERROR(INDEX(CALC!$C$2:$C$1000,5),"")</f>
        <v/>
      </c>
      <c r="G71" s="17">
        <f>IFERROR(INDEX(CALC!$C$2:$C$1000,6),"")</f>
        <v/>
      </c>
      <c r="H71" s="17">
        <f>IFERROR(INDEX(CALC!$C$2:$C$1000,7),"")</f>
        <v/>
      </c>
    </row>
    <row r="72">
      <c r="A72" s="18">
        <f>IFERROR(INDEX(CALC!$A$2:$A$1000,1),"")</f>
        <v/>
      </c>
      <c r="B72" s="19">
        <f>IFERROR(AVERAGEIFS(DATA!$L:$L, DATA!$A:$A, $B$71, DATA!$B:$B, $A72, DATA!$B:$B, TDB_1!$C$1, DATA!$A:$A, TDB_1!$C$4, DATA!$D:$D, TDB_1!$C$7, DATA!$I:$I, TDB_1!$C$10), NA())</f>
        <v/>
      </c>
      <c r="C72" s="19">
        <f>IFERROR(AVERAGEIFS(DATA!$L:$L, DATA!$A:$A, $C$71, DATA!$B:$B, $A72, DATA!$B:$B, TDB_1!$C$1, DATA!$A:$A, TDB_1!$C$4, DATA!$D:$D, TDB_1!$C$7, DATA!$I:$I, TDB_1!$C$10), NA())</f>
        <v/>
      </c>
      <c r="D72" s="19">
        <f>IFERROR(AVERAGEIFS(DATA!$L:$L, DATA!$A:$A, $D$71, DATA!$B:$B, $A72, DATA!$B:$B, TDB_1!$C$1, DATA!$A:$A, TDB_1!$C$4, DATA!$D:$D, TDB_1!$C$7, DATA!$I:$I, TDB_1!$C$10), NA())</f>
        <v/>
      </c>
      <c r="E72" s="19">
        <f>IFERROR(AVERAGEIFS(DATA!$L:$L, DATA!$A:$A, $E$71, DATA!$B:$B, $A72, DATA!$B:$B, TDB_1!$C$1, DATA!$A:$A, TDB_1!$C$4, DATA!$D:$D, TDB_1!$C$7, DATA!$I:$I, TDB_1!$C$10), NA())</f>
        <v/>
      </c>
      <c r="F72" s="19">
        <f>IFERROR(AVERAGEIFS(DATA!$L:$L, DATA!$A:$A, $F$71, DATA!$B:$B, $A72, DATA!$B:$B, TDB_1!$C$1, DATA!$A:$A, TDB_1!$C$4, DATA!$D:$D, TDB_1!$C$7, DATA!$I:$I, TDB_1!$C$10), NA())</f>
        <v/>
      </c>
      <c r="G72" s="19">
        <f>IFERROR(AVERAGEIFS(DATA!$L:$L, DATA!$A:$A, $G$71, DATA!$B:$B, $A72, DATA!$B:$B, TDB_1!$C$1, DATA!$A:$A, TDB_1!$C$4, DATA!$D:$D, TDB_1!$C$7, DATA!$I:$I, TDB_1!$C$10), NA())</f>
        <v/>
      </c>
      <c r="H72" s="19">
        <f>IFERROR(AVERAGEIFS(DATA!$L:$L, DATA!$A:$A, $H$71, DATA!$B:$B, $A72, DATA!$B:$B, TDB_1!$C$1, DATA!$A:$A, TDB_1!$C$4, DATA!$D:$D, TDB_1!$C$7, DATA!$I:$I, TDB_1!$C$10), NA())</f>
        <v/>
      </c>
    </row>
    <row r="73">
      <c r="A73" s="18">
        <f>IFERROR(INDEX(CALC!$A$2:$A$1000,2),"")</f>
        <v/>
      </c>
      <c r="B73" s="19">
        <f>IFERROR(AVERAGEIFS(DATA!$L:$L, DATA!$A:$A, $B$71, DATA!$B:$B, $A73, DATA!$B:$B, TDB_1!$C$1, DATA!$A:$A, TDB_1!$C$4, DATA!$D:$D, TDB_1!$C$7, DATA!$I:$I, TDB_1!$C$10), NA())</f>
        <v/>
      </c>
      <c r="C73" s="19">
        <f>IFERROR(AVERAGEIFS(DATA!$L:$L, DATA!$A:$A, $C$71, DATA!$B:$B, $A73, DATA!$B:$B, TDB_1!$C$1, DATA!$A:$A, TDB_1!$C$4, DATA!$D:$D, TDB_1!$C$7, DATA!$I:$I, TDB_1!$C$10), NA())</f>
        <v/>
      </c>
      <c r="D73" s="19">
        <f>IFERROR(AVERAGEIFS(DATA!$L:$L, DATA!$A:$A, $D$71, DATA!$B:$B, $A73, DATA!$B:$B, TDB_1!$C$1, DATA!$A:$A, TDB_1!$C$4, DATA!$D:$D, TDB_1!$C$7, DATA!$I:$I, TDB_1!$C$10), NA())</f>
        <v/>
      </c>
      <c r="E73" s="19">
        <f>IFERROR(AVERAGEIFS(DATA!$L:$L, DATA!$A:$A, $E$71, DATA!$B:$B, $A73, DATA!$B:$B, TDB_1!$C$1, DATA!$A:$A, TDB_1!$C$4, DATA!$D:$D, TDB_1!$C$7, DATA!$I:$I, TDB_1!$C$10), NA())</f>
        <v/>
      </c>
      <c r="F73" s="19">
        <f>IFERROR(AVERAGEIFS(DATA!$L:$L, DATA!$A:$A, $F$71, DATA!$B:$B, $A73, DATA!$B:$B, TDB_1!$C$1, DATA!$A:$A, TDB_1!$C$4, DATA!$D:$D, TDB_1!$C$7, DATA!$I:$I, TDB_1!$C$10), NA())</f>
        <v/>
      </c>
      <c r="G73" s="19">
        <f>IFERROR(AVERAGEIFS(DATA!$L:$L, DATA!$A:$A, $G$71, DATA!$B:$B, $A73, DATA!$B:$B, TDB_1!$C$1, DATA!$A:$A, TDB_1!$C$4, DATA!$D:$D, TDB_1!$C$7, DATA!$I:$I, TDB_1!$C$10), NA())</f>
        <v/>
      </c>
      <c r="H73" s="19">
        <f>IFERROR(AVERAGEIFS(DATA!$L:$L, DATA!$A:$A, $H$71, DATA!$B:$B, $A73, DATA!$B:$B, TDB_1!$C$1, DATA!$A:$A, TDB_1!$C$4, DATA!$D:$D, TDB_1!$C$7, DATA!$I:$I, TDB_1!$C$10), NA())</f>
        <v/>
      </c>
    </row>
  </sheetData>
  <mergeCells count="7">
    <mergeCell ref="A70:H70"/>
    <mergeCell ref="A30:B30"/>
    <mergeCell ref="A10:H10"/>
    <mergeCell ref="A45:E45"/>
    <mergeCell ref="A16:G16"/>
    <mergeCell ref="A1:H1"/>
    <mergeCell ref="A55:F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2026-06-09T07:17:59Z</dcterms:created>
  <dcterms:modified xsi:type="dcterms:W3CDTF">2026-06-09T07:18:03Z</dcterms:modified>
</cp:coreProperties>
</file>