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  <sheet name="TCD" sheetId="3" state="visible" r:id="rId3"/>
    <sheet name="Correlations" sheetId="4" state="visible" r:id="rId4"/>
    <sheet name="CALC" sheetId="5" state="visible" r:id="rId5"/>
    <sheet name="TDB_1" sheetId="6" state="visible" r:id="rId6"/>
    <sheet name="TAB_CROISE_DYNAMIQU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333333"/>
      <sz val="22"/>
    </font>
    <font>
      <b val="1"/>
    </font>
    <font>
      <b val="1"/>
      <color rgb="00FFFFFF"/>
      <sz val="12"/>
    </font>
    <font>
      <b val="1"/>
      <color rgb="00FFFFFF"/>
    </font>
    <font>
      <name val="Arial"/>
      <color rgb="00595959"/>
      <sz val="11"/>
    </font>
    <font>
      <name val="Arial"/>
      <b val="1"/>
      <color rgb="00D97706"/>
      <sz val="16"/>
    </font>
  </fonts>
  <fills count="6">
    <fill>
      <patternFill/>
    </fill>
    <fill>
      <patternFill patternType="gray125"/>
    </fill>
    <fill>
      <patternFill patternType="solid">
        <fgColor rgb="00C0C0C0"/>
        <bgColor rgb="00C0C0C0"/>
      </patternFill>
    </fill>
    <fill>
      <patternFill patternType="solid">
        <fgColor rgb="0070AD47"/>
        <bgColor rgb="0070AD47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2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3" fillId="3" borderId="0" pivotButton="0" quotePrefix="0" xfId="0"/>
    <xf numFmtId="0" fontId="4" fillId="4" borderId="2" pivotButton="0" quotePrefix="0" xfId="0"/>
    <xf numFmtId="0" fontId="2" fillId="5" borderId="2" pivotButton="0" quotePrefix="0" xfId="0"/>
    <xf numFmtId="1" fontId="0" fillId="0" borderId="2" pivotButton="0" quotePrefix="0" xfId="0"/>
    <xf numFmtId="2" fontId="0" fillId="0" borderId="2" pivotButton="0" quotePrefix="0" xfId="0"/>
    <xf numFmtId="0" fontId="4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9" applyAlignment="1" pivotButton="0" quotePrefix="0" xfId="0">
      <alignment horizontal="center" vertical="bottom"/>
    </xf>
    <xf numFmtId="0" fontId="0" fillId="0" borderId="9" pivotButton="0" quotePrefix="0" xfId="0"/>
    <xf numFmtId="0" fontId="6" fillId="0" borderId="9" applyAlignment="1" pivotButton="0" quotePrefix="0" xfId="0">
      <alignment horizontal="center" vertical="top"/>
    </xf>
    <xf numFmtId="1" fontId="6" fillId="0" borderId="9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Niveau d'addiction moyen selon l'âge et le genre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'TAB_CROISE_DYNAMIQUE'!A12</f>
            </strRef>
          </tx>
          <spPr>
            <a:ln>
              <a:prstDash val="solid"/>
            </a:ln>
          </spPr>
          <cat>
            <numRef>
              <f>'TAB_CROISE_DYNAMIQUE'!$B$11:$H$11</f>
            </numRef>
          </cat>
          <val>
            <numRef>
              <f>'TAB_CROISE_DYNAMIQUE'!$B$12:$H$12</f>
            </numRef>
          </val>
        </ser>
        <ser>
          <idx val="1"/>
          <order val="1"/>
          <tx>
            <strRef>
              <f>'TAB_CROISE_DYNAMIQUE'!A13</f>
            </strRef>
          </tx>
          <spPr>
            <a:ln>
              <a:prstDash val="solid"/>
            </a:ln>
          </spPr>
          <cat>
            <numRef>
              <f>'TAB_CROISE_DYNAMIQUE'!$B$11:$H$11</f>
            </numRef>
          </cat>
          <val>
            <numRef>
              <f>'TAB_CROISE_DYNAMIQUE'!$B$13:$H$13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 la dépression selon le genre</a:t>
            </a:r>
          </a:p>
        </rich>
      </tx>
    </title>
    <plotArea>
      <pieChart>
        <varyColors val="1"/>
        <ser>
          <idx val="0"/>
          <order val="0"/>
          <tx>
            <strRef>
              <f>'TAB_CROISE_DYNAMIQUE'!B101</f>
            </strRef>
          </tx>
          <spPr>
            <a:ln>
              <a:prstDash val="solid"/>
            </a:ln>
          </spPr>
          <cat>
            <numRef>
              <f>'TAB_CROISE_DYNAMIQUE'!$A$102:$A$103</f>
            </numRef>
          </cat>
          <val>
            <numRef>
              <f>'TAB_CROISE_DYNAMIQUE'!$B$102:$B$103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niveau Addiction selon l'âge</a:t>
            </a:r>
          </a:p>
        </rich>
      </tx>
    </title>
    <plotArea>
      <stockChart>
        <ser>
          <idx val="0"/>
          <order val="0"/>
          <tx>
            <strRef>
              <f>'TAB_CROISE_DYNAMIQUE'!B17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'TAB_CROISE_DYNAMIQUE'!$A$18:$A$24</f>
            </numRef>
          </cat>
          <val>
            <numRef>
              <f>'TAB_CROISE_DYNAMIQUE'!$B$18:$B$24</f>
            </numRef>
          </val>
        </ser>
        <ser>
          <idx val="1"/>
          <order val="1"/>
          <tx>
            <strRef>
              <f>'TAB_CROISE_DYNAMIQUE'!C17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'TAB_CROISE_DYNAMIQUE'!$A$18:$A$24</f>
            </numRef>
          </cat>
          <val>
            <numRef>
              <f>'TAB_CROISE_DYNAMIQUE'!$C$18:$C$24</f>
            </numRef>
          </val>
        </ser>
        <ser>
          <idx val="2"/>
          <order val="2"/>
          <tx>
            <strRef>
              <f>'TAB_CROISE_DYNAMIQUE'!D17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'TAB_CROISE_DYNAMIQUE'!$A$18:$A$24</f>
            </numRef>
          </cat>
          <val>
            <numRef>
              <f>'TAB_CROISE_DYNAMIQUE'!$D$18:$D$24</f>
            </numRef>
          </val>
        </ser>
        <ser>
          <idx val="3"/>
          <order val="3"/>
          <tx>
            <strRef>
              <f>'TAB_CROISE_DYNAMIQUE'!E17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'TAB_CROISE_DYNAMIQUE'!$A$18:$A$24</f>
            </numRef>
          </cat>
          <val>
            <numRef>
              <f>'TAB_CROISE_DYNAMIQUE'!$E$18:$E$24</f>
            </numRef>
          </val>
        </ser>
        <ser>
          <idx val="4"/>
          <order val="4"/>
          <tx>
            <strRef>
              <f>'TAB_CROISE_DYNAMIQUE'!F17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'TAB_CROISE_DYNAMIQUE'!$A$18:$A$24</f>
            </numRef>
          </cat>
          <val>
            <numRef>
              <f>'TAB_CROISE_DYNAMIQUE'!$F$18:$F$24</f>
            </numRef>
          </val>
        </ser>
        <axId val="10"/>
        <axId val="100"/>
      </stock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17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61f3486cf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61f3518f5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61f3518b9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61f3734b0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 de filles dépressives</t>
        </is>
      </c>
      <c r="B1">
        <f>COUNTIFS(DATA!M:M,1,DATA!B:B,"female")</f>
        <v/>
      </c>
    </row>
    <row r="2">
      <c r="A2" t="inlineStr">
        <is>
          <t>Nombre de garçons dépressifs</t>
        </is>
      </c>
      <c r="B2">
        <f>COUNTIFS(DATA!M:M,1,DATA!B:B,"male")</f>
        <v/>
      </c>
    </row>
    <row r="3">
      <c r="A3" t="inlineStr">
        <is>
          <t>Niveau d'addiction moyen chez les filles</t>
        </is>
      </c>
      <c r="B3">
        <f>AVERAGEIF(DATA!B:B,"female",DATA!L:L)</f>
        <v/>
      </c>
    </row>
    <row r="4">
      <c r="A4" t="inlineStr">
        <is>
          <t>Niveau d'addiction moyen chez les garçons</t>
        </is>
      </c>
      <c r="B4">
        <f>AVERAGEIF(DATA!B:B,"male",DATA!L:L)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3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t="inlineStr">
        <is>
          <t>Niveau de dépression selon l'âge</t>
        </is>
      </c>
    </row>
    <row r="2">
      <c r="A2" t="inlineStr">
        <is>
          <t>Age</t>
        </is>
      </c>
      <c r="B2" t="inlineStr">
        <is>
          <t>Nb depressifs</t>
        </is>
      </c>
    </row>
    <row r="3">
      <c r="A3" t="n">
        <v>13</v>
      </c>
      <c r="B3" t="n">
        <v>4</v>
      </c>
    </row>
    <row r="4">
      <c r="A4" t="n">
        <v>14</v>
      </c>
      <c r="B4" t="n">
        <v>3</v>
      </c>
    </row>
    <row r="5">
      <c r="A5" t="n">
        <v>15</v>
      </c>
      <c r="B5" t="n">
        <v>8</v>
      </c>
    </row>
    <row r="6">
      <c r="A6" t="n">
        <v>16</v>
      </c>
      <c r="B6" t="n">
        <v>4</v>
      </c>
    </row>
    <row r="7">
      <c r="A7" t="n">
        <v>17</v>
      </c>
      <c r="B7" t="n">
        <v>2</v>
      </c>
    </row>
    <row r="8">
      <c r="A8" t="n">
        <v>18</v>
      </c>
      <c r="B8" t="n">
        <v>4</v>
      </c>
    </row>
    <row r="9">
      <c r="A9" t="n">
        <v>19</v>
      </c>
      <c r="B9" t="n">
        <v>6</v>
      </c>
    </row>
    <row r="13">
      <c r="A13" t="inlineStr">
        <is>
          <t>Niveau d'addiction moyen selon l'âge et le genre</t>
        </is>
      </c>
    </row>
    <row r="14">
      <c r="A14" t="inlineStr">
        <is>
          <t>Age</t>
        </is>
      </c>
      <c r="B14" t="inlineStr">
        <is>
          <t>Addiction moy. Filles</t>
        </is>
      </c>
      <c r="C14" t="inlineStr">
        <is>
          <t>Addiction moy. Garcons</t>
        </is>
      </c>
    </row>
    <row r="15">
      <c r="A15" t="n">
        <v>13</v>
      </c>
      <c r="B15" t="n">
        <v>5.63</v>
      </c>
      <c r="C15" t="n">
        <v>5.84</v>
      </c>
    </row>
    <row r="16">
      <c r="A16" t="n">
        <v>14</v>
      </c>
      <c r="B16" t="n">
        <v>5.44</v>
      </c>
      <c r="C16" t="n">
        <v>4.96</v>
      </c>
    </row>
    <row r="17">
      <c r="A17" t="n">
        <v>15</v>
      </c>
      <c r="B17" t="n">
        <v>5.03</v>
      </c>
      <c r="C17" t="n">
        <v>5.53</v>
      </c>
    </row>
    <row r="18">
      <c r="A18" t="n">
        <v>16</v>
      </c>
      <c r="B18" t="n">
        <v>5.18</v>
      </c>
      <c r="C18" t="n">
        <v>5.62</v>
      </c>
    </row>
    <row r="19">
      <c r="A19" t="n">
        <v>17</v>
      </c>
      <c r="B19" t="n">
        <v>5.8</v>
      </c>
      <c r="C19" t="n">
        <v>5.75</v>
      </c>
    </row>
    <row r="20">
      <c r="A20" t="n">
        <v>18</v>
      </c>
      <c r="B20" t="n">
        <v>5.15</v>
      </c>
      <c r="C20" t="n">
        <v>5.97</v>
      </c>
    </row>
    <row r="21">
      <c r="A21" t="n">
        <v>19</v>
      </c>
      <c r="B21" t="n">
        <v>6.2</v>
      </c>
      <c r="C21" t="n">
        <v>5.68</v>
      </c>
    </row>
    <row r="25">
      <c r="A25" t="inlineStr">
        <is>
          <t>Nombre de dépressions selon le temps de sommeil et l'interaction sociale</t>
        </is>
      </c>
    </row>
    <row r="26">
      <c r="A26" t="inlineStr">
        <is>
          <t>Interaction sociale/Temps de Sommeil</t>
        </is>
      </c>
      <c r="B26" t="inlineStr">
        <is>
          <t>&lt;5h</t>
        </is>
      </c>
      <c r="C26" t="inlineStr">
        <is>
          <t>5-6h</t>
        </is>
      </c>
      <c r="D26" t="inlineStr">
        <is>
          <t>6-7h</t>
        </is>
      </c>
      <c r="E26" t="inlineStr">
        <is>
          <t>7-8h</t>
        </is>
      </c>
      <c r="F26" t="inlineStr">
        <is>
          <t>&gt;8h</t>
        </is>
      </c>
    </row>
    <row r="27">
      <c r="A27" t="inlineStr">
        <is>
          <t>high</t>
        </is>
      </c>
      <c r="B27" t="n">
        <v>7</v>
      </c>
      <c r="C27" t="n">
        <v>3</v>
      </c>
      <c r="D27" t="n">
        <v>0</v>
      </c>
      <c r="E27" t="n">
        <v>0</v>
      </c>
      <c r="F27" t="n">
        <v>0</v>
      </c>
    </row>
    <row r="28">
      <c r="A28" t="inlineStr">
        <is>
          <t>low</t>
        </is>
      </c>
      <c r="B28" t="n">
        <v>6</v>
      </c>
      <c r="C28" t="n">
        <v>3</v>
      </c>
      <c r="D28" t="n">
        <v>0</v>
      </c>
      <c r="E28" t="n">
        <v>0</v>
      </c>
      <c r="F28" t="n">
        <v>0</v>
      </c>
    </row>
    <row r="29">
      <c r="A29" t="inlineStr">
        <is>
          <t>medium</t>
        </is>
      </c>
      <c r="B29" t="n">
        <v>9</v>
      </c>
      <c r="C29" t="n">
        <v>3</v>
      </c>
      <c r="D29" t="n">
        <v>0</v>
      </c>
      <c r="E29" t="n">
        <v>0</v>
      </c>
      <c r="F29" t="n">
        <v>0</v>
      </c>
    </row>
    <row r="33">
      <c r="A33" t="inlineStr">
        <is>
          <t>Répartition du niveau d'addiction selon l'âge</t>
        </is>
      </c>
    </row>
    <row r="34">
      <c r="A34" t="inlineStr">
        <is>
          <t>Age</t>
        </is>
      </c>
      <c r="B34" t="inlineStr">
        <is>
          <t>Q1</t>
        </is>
      </c>
      <c r="C34" t="inlineStr">
        <is>
          <t>Mediane</t>
        </is>
      </c>
      <c r="D34" t="inlineStr">
        <is>
          <t>Q3</t>
        </is>
      </c>
      <c r="E34" t="inlineStr">
        <is>
          <t>Min</t>
        </is>
      </c>
      <c r="F34" t="inlineStr">
        <is>
          <t>Max</t>
        </is>
      </c>
      <c r="G34" t="inlineStr">
        <is>
          <t>Moyenne</t>
        </is>
      </c>
      <c r="H34" t="inlineStr">
        <is>
          <t>IQR</t>
        </is>
      </c>
    </row>
    <row r="35">
      <c r="A35" t="n">
        <v>13</v>
      </c>
      <c r="B35" t="n">
        <v>3</v>
      </c>
      <c r="C35" t="n">
        <v>6</v>
      </c>
      <c r="D35" t="n">
        <v>8</v>
      </c>
      <c r="E35" t="n">
        <v>1</v>
      </c>
      <c r="F35" t="n">
        <v>10</v>
      </c>
      <c r="G35" t="n">
        <v>5.74</v>
      </c>
      <c r="H35" t="n">
        <v>5</v>
      </c>
    </row>
    <row r="36">
      <c r="A36" t="n">
        <v>14</v>
      </c>
      <c r="B36" t="n">
        <v>3</v>
      </c>
      <c r="C36" t="n">
        <v>5</v>
      </c>
      <c r="D36" t="n">
        <v>8</v>
      </c>
      <c r="E36" t="n">
        <v>1</v>
      </c>
      <c r="F36" t="n">
        <v>10</v>
      </c>
      <c r="G36" t="n">
        <v>5.2</v>
      </c>
      <c r="H36" t="n">
        <v>5</v>
      </c>
    </row>
    <row r="37">
      <c r="A37" t="n">
        <v>15</v>
      </c>
      <c r="B37" t="n">
        <v>3</v>
      </c>
      <c r="C37" t="n">
        <v>5</v>
      </c>
      <c r="D37" t="n">
        <v>7</v>
      </c>
      <c r="E37" t="n">
        <v>1</v>
      </c>
      <c r="F37" t="n">
        <v>10</v>
      </c>
      <c r="G37" t="n">
        <v>5.28</v>
      </c>
      <c r="H37" t="n">
        <v>4</v>
      </c>
    </row>
    <row r="38">
      <c r="A38" t="n">
        <v>16</v>
      </c>
      <c r="B38" t="n">
        <v>3</v>
      </c>
      <c r="C38" t="n">
        <v>5</v>
      </c>
      <c r="D38" t="n">
        <v>8</v>
      </c>
      <c r="E38" t="n">
        <v>1</v>
      </c>
      <c r="F38" t="n">
        <v>10</v>
      </c>
      <c r="G38" t="n">
        <v>5.41</v>
      </c>
      <c r="H38" t="n">
        <v>5</v>
      </c>
    </row>
    <row r="39">
      <c r="A39" t="n">
        <v>17</v>
      </c>
      <c r="B39" t="n">
        <v>3</v>
      </c>
      <c r="C39" t="n">
        <v>6</v>
      </c>
      <c r="D39" t="n">
        <v>8</v>
      </c>
      <c r="E39" t="n">
        <v>1</v>
      </c>
      <c r="F39" t="n">
        <v>10</v>
      </c>
      <c r="G39" t="n">
        <v>5.78</v>
      </c>
      <c r="H39" t="n">
        <v>5</v>
      </c>
    </row>
    <row r="40">
      <c r="A40" t="n">
        <v>18</v>
      </c>
      <c r="B40" t="n">
        <v>3</v>
      </c>
      <c r="C40" t="n">
        <v>5.5</v>
      </c>
      <c r="D40" t="n">
        <v>8</v>
      </c>
      <c r="E40" t="n">
        <v>1</v>
      </c>
      <c r="F40" t="n">
        <v>10</v>
      </c>
      <c r="G40" t="n">
        <v>5.58</v>
      </c>
      <c r="H40" t="n">
        <v>5</v>
      </c>
    </row>
    <row r="41">
      <c r="A41" t="n">
        <v>19</v>
      </c>
      <c r="B41" t="n">
        <v>4</v>
      </c>
      <c r="C41" t="n">
        <v>6</v>
      </c>
      <c r="D41" t="n">
        <v>8</v>
      </c>
      <c r="E41" t="n">
        <v>1</v>
      </c>
      <c r="F41" t="n">
        <v>10</v>
      </c>
      <c r="G41" t="n">
        <v>5.91</v>
      </c>
      <c r="H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8"/>
  <sheetViews>
    <sheetView showGridLines="0" workbookViewId="0">
      <selection activeCell="A1" sqref="A1"/>
    </sheetView>
  </sheetViews>
  <sheetFormatPr baseColWidth="8" defaultRowHeight="15" outlineLevelCol="0"/>
  <cols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>
      <c r="A1" s="3" t="inlineStr">
        <is>
          <t>Genre</t>
        </is>
      </c>
      <c r="B1" s="4" t="n"/>
      <c r="C1" s="5" t="inlineStr">
        <is>
          <t>Tous</t>
        </is>
      </c>
      <c r="AA1" t="inlineStr">
        <is>
          <t>Tous</t>
        </is>
      </c>
      <c r="AB1" t="inlineStr">
        <is>
          <t>Tous</t>
        </is>
      </c>
      <c r="AC1" t="inlineStr">
        <is>
          <t>Tous</t>
        </is>
      </c>
      <c r="AD1" t="inlineStr">
        <is>
          <t>Tous</t>
        </is>
      </c>
    </row>
    <row r="2">
      <c r="A2" s="6" t="n"/>
      <c r="B2" s="7" t="n"/>
      <c r="AA2">
        <f>CALC!A2</f>
        <v/>
      </c>
      <c r="AB2">
        <f>CALC!C2</f>
        <v/>
      </c>
      <c r="AC2">
        <f>CALC!E2</f>
        <v/>
      </c>
      <c r="AD2">
        <f>CALC!G2</f>
        <v/>
      </c>
    </row>
    <row r="3">
      <c r="AA3">
        <f>CALC!A3</f>
        <v/>
      </c>
      <c r="AB3">
        <f>CALC!C3</f>
        <v/>
      </c>
      <c r="AC3">
        <f>CALC!E3</f>
        <v/>
      </c>
      <c r="AD3">
        <f>CALC!G3</f>
        <v/>
      </c>
    </row>
    <row r="4">
      <c r="A4" s="3" t="inlineStr">
        <is>
          <t>Âge</t>
        </is>
      </c>
      <c r="B4" s="4" t="n"/>
      <c r="C4" s="5" t="inlineStr">
        <is>
          <t>Tous</t>
        </is>
      </c>
      <c r="AB4">
        <f>CALC!C4</f>
        <v/>
      </c>
      <c r="AC4">
        <f>CALC!E4</f>
        <v/>
      </c>
      <c r="AD4">
        <f>CALC!G4</f>
        <v/>
      </c>
    </row>
    <row r="5">
      <c r="A5" s="6" t="n"/>
      <c r="B5" s="7" t="n"/>
      <c r="AB5">
        <f>CALC!C5</f>
        <v/>
      </c>
    </row>
    <row r="6">
      <c r="AB6">
        <f>CALC!C6</f>
        <v/>
      </c>
    </row>
    <row r="7">
      <c r="A7" s="3" t="inlineStr">
        <is>
          <t>Plateforme</t>
        </is>
      </c>
      <c r="B7" s="4" t="n"/>
      <c r="C7" s="5" t="inlineStr">
        <is>
          <t>Tous</t>
        </is>
      </c>
      <c r="AB7">
        <f>CALC!C7</f>
        <v/>
      </c>
    </row>
    <row r="8">
      <c r="A8" s="6" t="n"/>
      <c r="B8" s="7" t="n"/>
      <c r="AB8">
        <f>CALC!C8</f>
        <v/>
      </c>
    </row>
    <row r="10">
      <c r="A10" s="3" t="inlineStr">
        <is>
          <t>Interaction</t>
        </is>
      </c>
      <c r="B10" s="4" t="n"/>
      <c r="C10" s="5" t="inlineStr">
        <is>
          <t>Tous</t>
        </is>
      </c>
    </row>
    <row r="11">
      <c r="A11" s="6" t="n"/>
      <c r="B11" s="7" t="n"/>
    </row>
    <row r="20">
      <c r="T20" s="18" t="inlineStr">
        <is>
          <t>Réseau le plus utilisé</t>
        </is>
      </c>
      <c r="U20" s="19" t="n"/>
      <c r="V20" s="19" t="n"/>
    </row>
    <row r="21">
      <c r="T21" s="19" t="n"/>
      <c r="U21" s="19" t="n"/>
      <c r="V21" s="19" t="n"/>
    </row>
    <row r="22">
      <c r="T22" s="20">
        <f>'TAB_CROISE_DYNAMIQUE'!L1</f>
        <v/>
      </c>
      <c r="U22" s="19" t="n"/>
      <c r="V22" s="19" t="n"/>
    </row>
    <row r="23">
      <c r="T23" s="19" t="n"/>
      <c r="U23" s="19" t="n"/>
      <c r="V23" s="19" t="n"/>
    </row>
    <row r="25">
      <c r="T25" s="18" t="inlineStr">
        <is>
          <t>Performance scolaire
Moyen des personnes dépressives</t>
        </is>
      </c>
      <c r="U25" s="19" t="n"/>
      <c r="V25" s="19" t="n"/>
    </row>
    <row r="26">
      <c r="T26" s="19" t="n"/>
      <c r="U26" s="19" t="n"/>
      <c r="V26" s="19" t="n"/>
    </row>
    <row r="27">
      <c r="T27" s="21">
        <f>'TAB_CROISE_DYNAMIQUE'!L2</f>
        <v/>
      </c>
      <c r="U27" s="19" t="n"/>
      <c r="V27" s="19" t="n"/>
    </row>
    <row r="28">
      <c r="T28" s="19" t="n"/>
      <c r="U28" s="19" t="n"/>
      <c r="V28" s="19" t="n"/>
    </row>
  </sheetData>
  <mergeCells count="8">
    <mergeCell ref="A4:B5"/>
    <mergeCell ref="T20:V21"/>
    <mergeCell ref="A7:B8"/>
    <mergeCell ref="T27:V28"/>
    <mergeCell ref="A10:B11"/>
    <mergeCell ref="T22:V23"/>
    <mergeCell ref="A1:B2"/>
    <mergeCell ref="T25:V26"/>
  </mergeCells>
  <dataValidations count="4">
    <dataValidation sqref="C1" showDropDown="0" showInputMessage="0" showErrorMessage="0" allowBlank="0" type="list">
      <formula1>=$AA$1:$AA$3</formula1>
    </dataValidation>
    <dataValidation sqref="C4" showDropDown="0" showInputMessage="0" showErrorMessage="0" allowBlank="0" type="list">
      <formula1>=$AB$1:$AB$8</formula1>
    </dataValidation>
    <dataValidation sqref="C7" showDropDown="0" showInputMessage="0" showErrorMessage="0" allowBlank="0" type="list">
      <formula1>=$AC$1:$AC$4</formula1>
    </dataValidation>
    <dataValidation sqref="C10" showDropDown="0" showInputMessage="0" showErrorMessage="0" allowBlank="0" type="list">
      <formula1>=$AD$1:$AD$4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8" t="inlineStr">
        <is>
          <t>Dépression par Âge et Genre</t>
        </is>
      </c>
      <c r="K1" t="inlineStr">
        <is>
          <t>Réseau le plus utilisé</t>
        </is>
      </c>
      <c r="L1">
        <f t="array" ref="L1">INDEX(DATA!$D$2:$D$1201, MATCH(MAX(COUNTIFS(DATA!$D$2:$D$1201, DATA!$D$2:$D$1201, DATA!$D$2:$D$1201, "&lt;&gt;Both", DATA!$B$2:$B$1201, IF(TDB_1!$C$1="Tous", "&lt;&gt;", TDB_1!$C$1), DATA!$A$2:$A$1201, IF(TDB_1!$C$4="Tous", "&lt;&gt;", TDB_1!$C$4), DATA!$D$2:$D$1201, IF(TDB_1!$C$7="Tous", "&lt;&gt;", TDB_1!$C$7), DATA!$I$2:$I$1201, IF(TDB_1!$C$10="Tous", "&lt;&gt;", TDB_1!$C$10))), COUNTIFS(DATA!$D$2:$D$1201, DATA!$D$2:$D$1201, DATA!$D$2:$D$1201, "&lt;&gt;Both", DATA!$B$2:$B$1201, IF(TDB_1!$C$1="Tous", "&lt;&gt;", TDB_1!$C$1), DATA!$A$2:$A$1201, IF(TDB_1!$C$4="Tous", "&lt;&gt;", TDB_1!$C$4), DATA!$D$2:$D$1201, IF(TDB_1!$C$7="Tous", "&lt;&gt;", TDB_1!$C$7), DATA!$I$2:$I$1201, IF(TDB_1!$C$10="Tous", "&lt;&gt;", TDB_1!$C$10)), 0))</f>
        <v/>
      </c>
    </row>
    <row r="2">
      <c r="A2" s="9" t="inlineStr">
        <is>
          <t>Genre</t>
        </is>
      </c>
      <c r="B2" s="9">
        <f>IFERROR(INDEX(CALC!$C$2:$C$1000,1),"")</f>
        <v/>
      </c>
      <c r="C2" s="9">
        <f>IFERROR(INDEX(CALC!$C$2:$C$1000,2),"")</f>
        <v/>
      </c>
      <c r="D2" s="9">
        <f>IFERROR(INDEX(CALC!$C$2:$C$1000,3),"")</f>
        <v/>
      </c>
      <c r="E2" s="9">
        <f>IFERROR(INDEX(CALC!$C$2:$C$1000,4),"")</f>
        <v/>
      </c>
      <c r="F2" s="9">
        <f>IFERROR(INDEX(CALC!$C$2:$C$1000,5),"")</f>
        <v/>
      </c>
      <c r="G2" s="9">
        <f>IFERROR(INDEX(CALC!$C$2:$C$1000,6),"")</f>
        <v/>
      </c>
      <c r="H2" s="9">
        <f>IFERROR(INDEX(CALC!$C$2:$C$1000,7),"")</f>
        <v/>
      </c>
      <c r="K2" t="inlineStr">
        <is>
          <t>Perf sco moyenne - dépressifs</t>
        </is>
      </c>
      <c r="L2">
        <f>IFERROR(AVERAGEIFS(DATA!G:G, DATA!M:M, 1, DATA!$B:$B, IF(TDB_1!$C$1="Tous", "&lt;&gt;", TDB_1!$C$1), DATA!$A:$A, IF(TDB_1!$C$4="Tous", "&lt;&gt;", TDB_1!$C$4), DATA!$D:$D, IF(TDB_1!$C$7="Tous", "&lt;&gt;", TDB_1!$C$7), DATA!$I:$I, IF(TDB_1!$C$10="Tous", "&lt;&gt;", TDB_1!$C$10)), NA())</f>
        <v/>
      </c>
    </row>
    <row r="3">
      <c r="A3" s="10">
        <f>IFERROR(INDEX(CALC!$A$2:$A$1000,1),"")</f>
        <v/>
      </c>
      <c r="B3" s="11">
        <f>IFERROR(COUNTIFS(DATA!$M:$M,1,DATA!$A:$A,$B$2,DATA!$B:$B,$A3,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C3" s="11">
        <f>IFERROR(COUNTIFS(DATA!$M:$M,1,DATA!$A:$A,$C$2,DATA!$B:$B,$A3,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D3" s="11">
        <f>IFERROR(COUNTIFS(DATA!$M:$M,1,DATA!$A:$A,$D$2,DATA!$B:$B,$A3,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E3" s="11">
        <f>IFERROR(COUNTIFS(DATA!$M:$M,1,DATA!$A:$A,$E$2,DATA!$B:$B,$A3,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F3" s="11">
        <f>IFERROR(COUNTIFS(DATA!$M:$M,1,DATA!$A:$A,$F$2,DATA!$B:$B,$A3,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G3" s="11">
        <f>IFERROR(COUNTIFS(DATA!$M:$M,1,DATA!$A:$A,$G$2,DATA!$B:$B,$A3,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H3" s="11">
        <f>IFERROR(COUNTIFS(DATA!$M:$M,1,DATA!$A:$A,$H$2,DATA!$B:$B,$A3,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</row>
    <row r="4">
      <c r="A4" s="10">
        <f>IFERROR(INDEX(CALC!$A$2:$A$1000,2),"")</f>
        <v/>
      </c>
      <c r="B4" s="11">
        <f>IFERROR(COUNTIFS(DATA!$M:$M,1,DATA!$A:$A,$B$2,DATA!$B:$B,$A4,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C4" s="11">
        <f>IFERROR(COUNTIFS(DATA!$M:$M,1,DATA!$A:$A,$C$2,DATA!$B:$B,$A4,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D4" s="11">
        <f>IFERROR(COUNTIFS(DATA!$M:$M,1,DATA!$A:$A,$D$2,DATA!$B:$B,$A4,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E4" s="11">
        <f>IFERROR(COUNTIFS(DATA!$M:$M,1,DATA!$A:$A,$E$2,DATA!$B:$B,$A4,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F4" s="11">
        <f>IFERROR(COUNTIFS(DATA!$M:$M,1,DATA!$A:$A,$F$2,DATA!$B:$B,$A4,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G4" s="11">
        <f>IFERROR(COUNTIFS(DATA!$M:$M,1,DATA!$A:$A,$G$2,DATA!$B:$B,$A4,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H4" s="11">
        <f>IFERROR(COUNTIFS(DATA!$M:$M,1,DATA!$A:$A,$H$2,DATA!$B:$B,$A4,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</row>
    <row r="10">
      <c r="A10" s="8" t="inlineStr">
        <is>
          <t>Addiction moyenne par Âge et Genre</t>
        </is>
      </c>
    </row>
    <row r="11">
      <c r="A11" s="9" t="inlineStr">
        <is>
          <t>Genre</t>
        </is>
      </c>
      <c r="B11" s="9">
        <f>IFERROR(INDEX(CALC!$C$2:$C$1000,1),"")</f>
        <v/>
      </c>
      <c r="C11" s="9">
        <f>IFERROR(INDEX(CALC!$C$2:$C$1000,2),"")</f>
        <v/>
      </c>
      <c r="D11" s="9">
        <f>IFERROR(INDEX(CALC!$C$2:$C$1000,3),"")</f>
        <v/>
      </c>
      <c r="E11" s="9">
        <f>IFERROR(INDEX(CALC!$C$2:$C$1000,4),"")</f>
        <v/>
      </c>
      <c r="F11" s="9">
        <f>IFERROR(INDEX(CALC!$C$2:$C$1000,5),"")</f>
        <v/>
      </c>
      <c r="G11" s="9">
        <f>IFERROR(INDEX(CALC!$C$2:$C$1000,6),"")</f>
        <v/>
      </c>
      <c r="H11" s="9">
        <f>IFERROR(INDEX(CALC!$C$2:$C$1000,7),"")</f>
        <v/>
      </c>
    </row>
    <row r="12">
      <c r="A12" s="10">
        <f>IFERROR(INDEX(CALC!$A$2:$A$1000,1),"")</f>
        <v/>
      </c>
      <c r="B12" s="12">
        <f>IFERROR(AVERAGEIFS(DATA!$L:$L,DATA!$A:$A,$B$11,DATA!$B:$B,$A12,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C12" s="12">
        <f>IFERROR(AVERAGEIFS(DATA!$L:$L,DATA!$A:$A,$C$11,DATA!$B:$B,$A12,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D12" s="12">
        <f>IFERROR(AVERAGEIFS(DATA!$L:$L,DATA!$A:$A,$D$11,DATA!$B:$B,$A12,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E12" s="12">
        <f>IFERROR(AVERAGEIFS(DATA!$L:$L,DATA!$A:$A,$E$11,DATA!$B:$B,$A12,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F12" s="12">
        <f>IFERROR(AVERAGEIFS(DATA!$L:$L,DATA!$A:$A,$F$11,DATA!$B:$B,$A12,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G12" s="12">
        <f>IFERROR(AVERAGEIFS(DATA!$L:$L,DATA!$A:$A,$G$11,DATA!$B:$B,$A12,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H12" s="12">
        <f>IFERROR(AVERAGEIFS(DATA!$L:$L,DATA!$A:$A,$H$11,DATA!$B:$B,$A12,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</row>
    <row r="13">
      <c r="A13" s="10">
        <f>IFERROR(INDEX(CALC!$A$2:$A$1000,2),"")</f>
        <v/>
      </c>
      <c r="B13" s="12">
        <f>IFERROR(AVERAGEIFS(DATA!$L:$L,DATA!$A:$A,$B$11,DATA!$B:$B,$A13,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C13" s="12">
        <f>IFERROR(AVERAGEIFS(DATA!$L:$L,DATA!$A:$A,$C$11,DATA!$B:$B,$A13,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D13" s="12">
        <f>IFERROR(AVERAGEIFS(DATA!$L:$L,DATA!$A:$A,$D$11,DATA!$B:$B,$A13,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E13" s="12">
        <f>IFERROR(AVERAGEIFS(DATA!$L:$L,DATA!$A:$A,$E$11,DATA!$B:$B,$A13,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F13" s="12">
        <f>IFERROR(AVERAGEIFS(DATA!$L:$L,DATA!$A:$A,$F$11,DATA!$B:$B,$A13,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G13" s="12">
        <f>IFERROR(AVERAGEIFS(DATA!$L:$L,DATA!$A:$A,$G$11,DATA!$B:$B,$A13,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H13" s="12">
        <f>IFERROR(AVERAGEIFS(DATA!$L:$L,DATA!$A:$A,$H$11,DATA!$B:$B,$A13,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</row>
    <row r="16">
      <c r="A16" s="8" t="inlineStr">
        <is>
          <t>Répartition de l'addiction selon l'âge</t>
        </is>
      </c>
    </row>
    <row r="17">
      <c r="A17" s="13" t="inlineStr">
        <is>
          <t>Âge</t>
        </is>
      </c>
      <c r="B17" s="13" t="inlineStr">
        <is>
          <t>Min</t>
        </is>
      </c>
      <c r="C17" s="13" t="inlineStr">
        <is>
          <t>Q1</t>
        </is>
      </c>
      <c r="D17" s="13" t="inlineStr">
        <is>
          <t>Médiane</t>
        </is>
      </c>
      <c r="E17" s="13" t="inlineStr">
        <is>
          <t>Q3</t>
        </is>
      </c>
      <c r="F17" s="13" t="inlineStr">
        <is>
          <t>Max</t>
        </is>
      </c>
      <c r="G17" s="13" t="inlineStr">
        <is>
          <t>Moyenne</t>
        </is>
      </c>
    </row>
    <row r="18">
      <c r="A18" s="14">
        <f>IFERROR(INDEX(CALC!$C$2:$C$1000,1),"")</f>
        <v/>
      </c>
      <c r="B18" s="15">
        <f t="array" ref="B18">MIN(IF((DATA!$A$2:$A$1201=$A18)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18" s="15">
        <f t="array" ref="C18">QUARTILE(IF((DATA!$A$2:$A$1201=$A18)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18" s="15">
        <f t="array" ref="D18">MEDIAN(IF((DATA!$A$2:$A$1201=$A18)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18" s="15">
        <f t="array" ref="E18">QUARTILE(IF((DATA!$A$2:$A$1201=$A18)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18" s="15">
        <f t="array" ref="F18">MAX(IF((DATA!$A$2:$A$1201=$A18)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18" s="15">
        <f>IFERROR(AVERAGEIFS(DATA!$L$2:$L$1201, DATA!$A$2:$A$1201, $A18,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19">
      <c r="A19" s="14">
        <f>IFERROR(INDEX(CALC!$C$2:$C$1000,2),"")</f>
        <v/>
      </c>
      <c r="B19" s="15">
        <f t="array" ref="B19">MIN(IF((DATA!$A$2:$A$1201=$A19)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19" s="15">
        <f t="array" ref="C19">QUARTILE(IF((DATA!$A$2:$A$1201=$A19)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19" s="15">
        <f t="array" ref="D19">MEDIAN(IF((DATA!$A$2:$A$1201=$A19)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19" s="15">
        <f t="array" ref="E19">QUARTILE(IF((DATA!$A$2:$A$1201=$A19)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19" s="15">
        <f t="array" ref="F19">MAX(IF((DATA!$A$2:$A$1201=$A19)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19" s="15">
        <f>IFERROR(AVERAGEIFS(DATA!$L$2:$L$1201, DATA!$A$2:$A$1201, $A19,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0">
      <c r="A20" s="14">
        <f>IFERROR(INDEX(CALC!$C$2:$C$1000,3),"")</f>
        <v/>
      </c>
      <c r="B20" s="15">
        <f t="array" ref="B20">MIN(IF((DATA!$A$2:$A$1201=$A20)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0" s="15">
        <f t="array" ref="C20">QUARTILE(IF((DATA!$A$2:$A$1201=$A20)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0" s="15">
        <f t="array" ref="D20">MEDIAN(IF((DATA!$A$2:$A$1201=$A20)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0" s="15">
        <f t="array" ref="E20">QUARTILE(IF((DATA!$A$2:$A$1201=$A20)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0" s="15">
        <f t="array" ref="F20">MAX(IF((DATA!$A$2:$A$1201=$A20)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0" s="15">
        <f>IFERROR(AVERAGEIFS(DATA!$L$2:$L$1201, DATA!$A$2:$A$1201, $A20,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1">
      <c r="A21" s="14">
        <f>IFERROR(INDEX(CALC!$C$2:$C$1000,4),"")</f>
        <v/>
      </c>
      <c r="B21" s="15">
        <f t="array" ref="B21">MIN(IF((DATA!$A$2:$A$1201=$A21)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1" s="15">
        <f t="array" ref="C21">QUARTILE(IF((DATA!$A$2:$A$1201=$A21)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1" s="15">
        <f t="array" ref="D21">MEDIAN(IF((DATA!$A$2:$A$1201=$A21)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1" s="15">
        <f t="array" ref="E21">QUARTILE(IF((DATA!$A$2:$A$1201=$A21)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1" s="15">
        <f t="array" ref="F21">MAX(IF((DATA!$A$2:$A$1201=$A21)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1" s="15">
        <f>IFERROR(AVERAGEIFS(DATA!$L$2:$L$1201, DATA!$A$2:$A$1201, $A21,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2">
      <c r="A22" s="14">
        <f>IFERROR(INDEX(CALC!$C$2:$C$1000,5),"")</f>
        <v/>
      </c>
      <c r="B22" s="15">
        <f t="array" ref="B22">MIN(IF((DATA!$A$2:$A$1201=$A22)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2" s="15">
        <f t="array" ref="C22">QUARTILE(IF((DATA!$A$2:$A$1201=$A22)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2" s="15">
        <f t="array" ref="D22">MEDIAN(IF((DATA!$A$2:$A$1201=$A22)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2" s="15">
        <f t="array" ref="E22">QUARTILE(IF((DATA!$A$2:$A$1201=$A22)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2" s="15">
        <f t="array" ref="F22">MAX(IF((DATA!$A$2:$A$1201=$A22)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2" s="15">
        <f>IFERROR(AVERAGEIFS(DATA!$L$2:$L$1201, DATA!$A$2:$A$1201, $A22,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3">
      <c r="A23" s="14">
        <f>IFERROR(INDEX(CALC!$C$2:$C$1000,6),"")</f>
        <v/>
      </c>
      <c r="B23" s="15">
        <f t="array" ref="B23">MIN(IF((DATA!$A$2:$A$1201=$A23)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3" s="15">
        <f t="array" ref="C23">QUARTILE(IF((DATA!$A$2:$A$1201=$A23)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3" s="15">
        <f t="array" ref="D23">MEDIAN(IF((DATA!$A$2:$A$1201=$A23)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3" s="15">
        <f t="array" ref="E23">QUARTILE(IF((DATA!$A$2:$A$1201=$A23)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3" s="15">
        <f t="array" ref="F23">MAX(IF((DATA!$A$2:$A$1201=$A23)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3" s="15">
        <f>IFERROR(AVERAGEIFS(DATA!$L$2:$L$1201, DATA!$A$2:$A$1201, $A23,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4">
      <c r="A24" s="14">
        <f>IFERROR(INDEX(CALC!$C$2:$C$1000,7),"")</f>
        <v/>
      </c>
      <c r="B24" s="15">
        <f t="array" ref="B24">MIN(IF((DATA!$A$2:$A$1201=$A24)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4" s="15">
        <f t="array" ref="C24">QUARTILE(IF((DATA!$A$2:$A$1201=$A24)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4" s="15">
        <f t="array" ref="D24">MEDIAN(IF((DATA!$A$2:$A$1201=$A24)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4" s="15">
        <f t="array" ref="E24">QUARTILE(IF((DATA!$A$2:$A$1201=$A24)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4" s="15">
        <f t="array" ref="F24">MAX(IF((DATA!$A$2:$A$1201=$A24)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4" s="15">
        <f>IFERROR(AVERAGEIFS(DATA!$L$2:$L$1201, DATA!$A$2:$A$1201, $A24,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30">
      <c r="A30" s="8" t="inlineStr">
        <is>
          <t>Nombre de dépressions selon l'âge</t>
        </is>
      </c>
    </row>
    <row r="31">
      <c r="A31" s="13" t="inlineStr">
        <is>
          <t>Âge</t>
        </is>
      </c>
      <c r="B31" s="13" t="inlineStr">
        <is>
          <t>Nb Dépressions</t>
        </is>
      </c>
    </row>
    <row r="32">
      <c r="A32" s="14">
        <f>IFERROR(INDEX(CALC!$C$2:$C$1000,1),"")</f>
        <v/>
      </c>
      <c r="B32" s="16">
        <f>COUNTIFS(DATA!$A$2:$A$1201, $A32,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3">
      <c r="A33" s="14">
        <f>IFERROR(INDEX(CALC!$C$2:$C$1000,2),"")</f>
        <v/>
      </c>
      <c r="B33" s="16">
        <f>COUNTIFS(DATA!$A$2:$A$1201, $A33,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4">
      <c r="A34" s="14">
        <f>IFERROR(INDEX(CALC!$C$2:$C$1000,3),"")</f>
        <v/>
      </c>
      <c r="B34" s="16">
        <f>COUNTIFS(DATA!$A$2:$A$1201, $A34,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5">
      <c r="A35" s="14">
        <f>IFERROR(INDEX(CALC!$C$2:$C$1000,4),"")</f>
        <v/>
      </c>
      <c r="B35" s="16">
        <f>COUNTIFS(DATA!$A$2:$A$1201, $A35,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6">
      <c r="A36" s="14">
        <f>IFERROR(INDEX(CALC!$C$2:$C$1000,5),"")</f>
        <v/>
      </c>
      <c r="B36" s="16">
        <f>COUNTIFS(DATA!$A$2:$A$1201, $A36,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7">
      <c r="A37" s="14">
        <f>IFERROR(INDEX(CALC!$C$2:$C$1000,6),"")</f>
        <v/>
      </c>
      <c r="B37" s="16">
        <f>COUNTIFS(DATA!$A$2:$A$1201, $A37,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8">
      <c r="A38" s="14">
        <f>IFERROR(INDEX(CALC!$C$2:$C$1000,7),"")</f>
        <v/>
      </c>
      <c r="B38" s="16">
        <f>COUNTIFS(DATA!$A$2:$A$1201, $A38,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45">
      <c r="A45" s="8" t="inlineStr">
        <is>
          <t>Performance scolaire selon Genre et Temps d'écran (Réseaux Sociaux)</t>
        </is>
      </c>
    </row>
    <row r="46">
      <c r="A46" s="13" t="inlineStr">
        <is>
          <t>Genre</t>
        </is>
      </c>
      <c r="B46" s="13" t="inlineStr">
        <is>
          <t>&lt; 2h</t>
        </is>
      </c>
      <c r="C46" s="13" t="inlineStr">
        <is>
          <t>2 à 4h</t>
        </is>
      </c>
      <c r="D46" s="13" t="inlineStr">
        <is>
          <t>4 à 6h</t>
        </is>
      </c>
      <c r="E46" s="13" t="inlineStr">
        <is>
          <t>&gt; 6h</t>
        </is>
      </c>
    </row>
    <row r="47">
      <c r="A47" s="10">
        <f>IFERROR(INDEX(CALC!$A$2:$A$1000,1),"")</f>
        <v/>
      </c>
      <c r="B47" s="15">
        <f>IFERROR(AVERAGEIFS(DATA!$G$2:$G$1201, DATA!$B$2:$B$1201, $A47, DATA!$C$2:$C$1201, "&lt;2",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47" s="15">
        <f>IFERROR(AVERAGEIFS(DATA!$G$2:$G$1201, DATA!$B$2:$B$1201, $A47, DATA!$C$2:$C$1201, "&gt;=2", DATA!$C$2:$C$1201, "&lt;4",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47" s="15">
        <f>IFERROR(AVERAGEIFS(DATA!$G$2:$G$1201, DATA!$B$2:$B$1201, $A47, DATA!$C$2:$C$1201, "&gt;=4", DATA!$C$2:$C$1201,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47" s="15">
        <f>IFERROR(AVERAGEIFS(DATA!$G$2:$G$1201, DATA!$B$2:$B$1201, $A47, DATA!$C$2:$C$1201, "&gt;=6",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48">
      <c r="A48" s="10">
        <f>IFERROR(INDEX(CALC!$A$2:$A$1000,2),"")</f>
        <v/>
      </c>
      <c r="B48" s="15">
        <f>IFERROR(AVERAGEIFS(DATA!$G$2:$G$1201, DATA!$B$2:$B$1201, $A48, DATA!$C$2:$C$1201, "&lt;2",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48" s="15">
        <f>IFERROR(AVERAGEIFS(DATA!$G$2:$G$1201, DATA!$B$2:$B$1201, $A48, DATA!$C$2:$C$1201, "&gt;=2", DATA!$C$2:$C$1201, "&lt;4",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48" s="15">
        <f>IFERROR(AVERAGEIFS(DATA!$G$2:$G$1201, DATA!$B$2:$B$1201, $A48, DATA!$C$2:$C$1201, "&gt;=4", DATA!$C$2:$C$1201,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48" s="15">
        <f>IFERROR(AVERAGEIFS(DATA!$G$2:$G$1201, DATA!$B$2:$B$1201, $A48, DATA!$C$2:$C$1201, "&gt;=6",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55">
      <c r="A55" s="8" t="inlineStr">
        <is>
          <t>Anxiété moyenne par Interaction sociale et Temps de sommeil</t>
        </is>
      </c>
    </row>
    <row r="56">
      <c r="A56" s="13" t="inlineStr">
        <is>
          <t>Interaction</t>
        </is>
      </c>
      <c r="B56" s="13" t="inlineStr">
        <is>
          <t>&lt; 5h</t>
        </is>
      </c>
      <c r="C56" s="13" t="inlineStr">
        <is>
          <t>5 à 6h</t>
        </is>
      </c>
      <c r="D56" s="13" t="inlineStr">
        <is>
          <t>6 à 7h</t>
        </is>
      </c>
      <c r="E56" s="13" t="inlineStr">
        <is>
          <t>7 à 8h</t>
        </is>
      </c>
      <c r="F56" s="13" t="inlineStr">
        <is>
          <t>&gt; 8h</t>
        </is>
      </c>
    </row>
    <row r="57">
      <c r="A57" s="10">
        <f>IFERROR(INDEX(CALC!$G$2:$G$1000,1),"")</f>
        <v/>
      </c>
      <c r="B57" s="15">
        <f>IFERROR(AVERAGEIFS(DATA!$K$2:$K$1201, DATA!$I$2:$I$1201, $A57, DATA!$E$2:$E$1201, "&lt;5",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57" s="15">
        <f>IFERROR(AVERAGEIFS(DATA!$K$2:$K$1201, DATA!$I$2:$I$1201, $A57, DATA!$E$2:$E$1201, "&gt;=5", DATA!$E$2:$E$1201,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57" s="15">
        <f>IFERROR(AVERAGEIFS(DATA!$K$2:$K$1201, DATA!$I$2:$I$1201, $A57, DATA!$E$2:$E$1201, "&gt;=6", DATA!$E$2:$E$1201, "&lt;7",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57" s="15">
        <f>IFERROR(AVERAGEIFS(DATA!$K$2:$K$1201, DATA!$I$2:$I$1201, $A57, DATA!$E$2:$E$1201, "&gt;=7", DATA!$E$2:$E$1201, "&lt;8",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F57" s="15">
        <f>IFERROR(AVERAGEIFS(DATA!$K$2:$K$1201, DATA!$I$2:$I$1201, $A57, DATA!$E$2:$E$1201, "&gt;=8",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58">
      <c r="A58" s="10">
        <f>IFERROR(INDEX(CALC!$G$2:$G$1000,2),"")</f>
        <v/>
      </c>
      <c r="B58" s="15">
        <f>IFERROR(AVERAGEIFS(DATA!$K$2:$K$1201, DATA!$I$2:$I$1201, $A58, DATA!$E$2:$E$1201, "&lt;5",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58" s="15">
        <f>IFERROR(AVERAGEIFS(DATA!$K$2:$K$1201, DATA!$I$2:$I$1201, $A58, DATA!$E$2:$E$1201, "&gt;=5", DATA!$E$2:$E$1201,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58" s="15">
        <f>IFERROR(AVERAGEIFS(DATA!$K$2:$K$1201, DATA!$I$2:$I$1201, $A58, DATA!$E$2:$E$1201, "&gt;=6", DATA!$E$2:$E$1201, "&lt;7",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58" s="15">
        <f>IFERROR(AVERAGEIFS(DATA!$K$2:$K$1201, DATA!$I$2:$I$1201, $A58, DATA!$E$2:$E$1201, "&gt;=7", DATA!$E$2:$E$1201, "&lt;8",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F58" s="15">
        <f>IFERROR(AVERAGEIFS(DATA!$K$2:$K$1201, DATA!$I$2:$I$1201, $A58, DATA!$E$2:$E$1201, "&gt;=8",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59">
      <c r="A59" s="10">
        <f>IFERROR(INDEX(CALC!$G$2:$G$1000,3),"")</f>
        <v/>
      </c>
      <c r="B59" s="15">
        <f>IFERROR(AVERAGEIFS(DATA!$K$2:$K$1201, DATA!$I$2:$I$1201, $A59, DATA!$E$2:$E$1201, "&lt;5",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59" s="15">
        <f>IFERROR(AVERAGEIFS(DATA!$K$2:$K$1201, DATA!$I$2:$I$1201, $A59, DATA!$E$2:$E$1201, "&gt;=5", DATA!$E$2:$E$1201,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59" s="15">
        <f>IFERROR(AVERAGEIFS(DATA!$K$2:$K$1201, DATA!$I$2:$I$1201, $A59, DATA!$E$2:$E$1201, "&gt;=6", DATA!$E$2:$E$1201, "&lt;7",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59" s="15">
        <f>IFERROR(AVERAGEIFS(DATA!$K$2:$K$1201, DATA!$I$2:$I$1201, $A59, DATA!$E$2:$E$1201, "&gt;=7", DATA!$E$2:$E$1201, "&lt;8",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F59" s="15">
        <f>IFERROR(AVERAGEIFS(DATA!$K$2:$K$1201, DATA!$I$2:$I$1201, $A59, DATA!$E$2:$E$1201, "&gt;=8",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100">
      <c r="A100" s="17" t="inlineStr">
        <is>
          <t>Total Dépression par Genre</t>
        </is>
      </c>
    </row>
    <row r="101">
      <c r="A101" t="inlineStr">
        <is>
          <t>Genre</t>
        </is>
      </c>
      <c r="B101" t="inlineStr">
        <is>
          <t>Total</t>
        </is>
      </c>
    </row>
    <row r="102">
      <c r="A102">
        <f>A3</f>
        <v/>
      </c>
      <c r="B102">
        <f>SUM(B3:H3)</f>
        <v/>
      </c>
    </row>
    <row r="103">
      <c r="A103">
        <f>A4</f>
        <v/>
      </c>
      <c r="B103">
        <f>SUM(B4:H4)</f>
        <v/>
      </c>
    </row>
  </sheetData>
  <mergeCells count="6">
    <mergeCell ref="A30:B30"/>
    <mergeCell ref="A10:H10"/>
    <mergeCell ref="A45:E45"/>
    <mergeCell ref="A16:G16"/>
    <mergeCell ref="A1:H1"/>
    <mergeCell ref="A55:F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2026-06-09T10:09:32Z</dcterms:created>
  <dcterms:modified xsi:type="dcterms:W3CDTF">2026-06-09T10:10:07Z</dcterms:modified>
</cp:coreProperties>
</file>