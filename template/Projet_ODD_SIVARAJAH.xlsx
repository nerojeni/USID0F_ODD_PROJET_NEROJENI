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DB1" sheetId="1" state="visible" r:id="rId1"/>
    <sheet name="TDB2" sheetId="2" state="visible" r:id="rId2"/>
    <sheet name="DATA" sheetId="3" state="visible" r:id="rId3"/>
    <sheet name="Correlations" sheetId="4" state="visible" r:id="rId4"/>
    <sheet name="CALC" sheetId="5" state="visible" r:id="rId5"/>
    <sheet name="TCD" sheetId="6" state="visible" r:id="rId6"/>
    <sheet name="TCD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0"/>
    </font>
    <font>
      <b val="1"/>
      <color rgb="00FFFFFF"/>
      <sz val="10"/>
    </font>
    <font>
      <b val="1"/>
      <color rgb="00000000"/>
      <sz val="10"/>
    </font>
    <font>
      <b val="1"/>
      <color rgb="00FFFFFF"/>
      <sz val="12"/>
    </font>
    <font>
      <b val="1"/>
      <color rgb="00FFFFFF"/>
      <sz val="11"/>
    </font>
    <font>
      <b val="1"/>
      <color rgb="00FFFFFF"/>
      <sz val="16"/>
    </font>
    <font>
      <b val="1"/>
      <sz val="11"/>
    </font>
    <font>
      <b val="1"/>
      <sz val="9"/>
    </font>
    <font>
      <b val="1"/>
      <color rgb="FF003D6B"/>
      <sz val="14"/>
    </font>
    <font>
      <b val="1"/>
      <color rgb="FF003D6B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FF003D6B"/>
        <bgColor rgb="FF003D6B"/>
      </patternFill>
    </fill>
    <fill>
      <patternFill patternType="solid">
        <fgColor rgb="00FFFFFF"/>
        <bgColor rgb="00FFFFFF"/>
      </patternFill>
    </fill>
    <fill>
      <patternFill patternType="solid">
        <fgColor rgb="00040459"/>
        <bgColor rgb="00040459"/>
      </patternFill>
    </fill>
    <fill>
      <patternFill patternType="solid">
        <fgColor rgb="007D093F"/>
        <bgColor rgb="007D093F"/>
      </patternFill>
    </fill>
    <fill>
      <patternFill patternType="solid">
        <fgColor rgb="FF008080"/>
        <bgColor rgb="FF008080"/>
      </patternFill>
    </fill>
    <fill>
      <patternFill patternType="solid">
        <fgColor rgb="FFB3E5E0"/>
        <bgColor rgb="FFB3E5E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2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" fontId="8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/>
    </xf>
    <xf numFmtId="0" fontId="9" fillId="0" borderId="0" pivotButton="0" quotePrefix="0" xfId="0"/>
    <xf numFmtId="1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2" fontId="10" fillId="3" borderId="1" applyAlignment="1" pivotButton="0" quotePrefix="0" xfId="0">
      <alignment horizontal="center" vertical="center" wrapText="1"/>
    </xf>
    <xf numFmtId="2" fontId="11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1" fontId="7" fillId="4" borderId="1" applyAlignment="1" pivotButton="0" quotePrefix="0" xfId="0">
      <alignment horizontal="center" vertical="center"/>
    </xf>
    <xf numFmtId="1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0" fontId="12" fillId="0" borderId="0" pivotButton="0" quotePrefix="0" xfId="0"/>
    <xf numFmtId="164" fontId="0" fillId="0" borderId="0" pivotButton="0" quotePrefix="0" xfId="0"/>
    <xf numFmtId="0" fontId="0" fillId="6" borderId="1" pivotButton="0" quotePrefix="0" xfId="0"/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Addiction moyenne par âge et genre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'TCD'!A12</f>
            </strRef>
          </tx>
          <spPr>
            <a:solidFill>
              <a:srgbClr val="040459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'TCD'!$B$11:$H$11</f>
            </numRef>
          </cat>
          <val>
            <numRef>
              <f>'TCD'!$B$12:$H$12</f>
            </numRef>
          </val>
        </ser>
        <ser>
          <idx val="1"/>
          <order val="1"/>
          <tx>
            <strRef>
              <f>'TCD'!A13</f>
            </strRef>
          </tx>
          <spPr>
            <a:solidFill>
              <a:srgbClr val="7d093f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'TCD'!$B$11:$H$11</f>
            </numRef>
          </cat>
          <val>
            <numRef>
              <f>'TCD'!$B$13:$H$13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 la dépression selon le genre</a:t>
            </a:r>
          </a:p>
        </rich>
      </tx>
    </title>
    <plotArea>
      <pieChart>
        <varyColors val="1"/>
        <ser>
          <idx val="0"/>
          <order val="0"/>
          <tx>
            <strRef>
              <f>'TCD'!B121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40459"/>
              </a:solidFill>
              <a:ln>
                <a:prstDash val="solid"/>
              </a:ln>
            </spPr>
          </dPt>
          <dPt>
            <idx val="1"/>
            <spPr>
              <a:solidFill>
                <a:srgbClr val="7D093F"/>
              </a:solidFill>
              <a:ln>
                <a:prstDash val="solid"/>
              </a:ln>
            </spPr>
          </dPt>
          <cat>
            <numRef>
              <f>'TCD'!$A$122:$A$123</f>
            </numRef>
          </cat>
          <val>
            <numRef>
              <f>'TCD'!$B$122:$B$123</f>
            </numRef>
          </val>
        </ser>
        <dLbls>
          <showVal val="0"/>
          <showCatName val="1"/>
          <showPercent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niveau Addiction selon l'âge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'TCD'!B21</f>
            </strRef>
          </tx>
          <spPr>
            <a:solidFill>
              <a:srgbClr val="808080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'TCD'!$B$22:$B$28</f>
            </numRef>
          </val>
        </ser>
        <ser>
          <idx val="1"/>
          <order val="1"/>
          <tx>
            <strRef>
              <f>'TCD'!C21</f>
            </strRef>
          </tx>
          <spPr>
            <a:solidFill>
              <a:srgbClr val="A6A6A6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'TCD'!$C$22:$C$28</f>
            </numRef>
          </val>
        </ser>
        <ser>
          <idx val="2"/>
          <order val="2"/>
          <tx>
            <strRef>
              <f>'TCD'!D21</f>
            </strRef>
          </tx>
          <spPr>
            <a:solidFill>
              <a:srgbClr val="FF1493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'TCD'!$D$22:$D$28</f>
            </numRef>
          </val>
        </ser>
        <ser>
          <idx val="3"/>
          <order val="3"/>
          <tx>
            <strRef>
              <f>'TCD'!E21</f>
            </strRef>
          </tx>
          <spPr>
            <a:solidFill>
              <a:srgbClr val="CCCCCC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'TCD'!$E$22:$E$28</f>
            </numRef>
          </val>
        </ser>
        <ser>
          <idx val="4"/>
          <order val="4"/>
          <tx>
            <strRef>
              <f>'TCD'!F21</f>
            </strRef>
          </tx>
          <spPr>
            <a:solidFill>
              <a:srgbClr val="555555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'TCD'!$F$22:$F$28</f>
            </numRef>
          </val>
        </ser>
        <gapWidth val="150"/>
        <overlap val="-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scolaire moyenne par temps d'écran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'TCD2'!A3</f>
            </strRef>
          </tx>
          <spPr>
            <a:solidFill>
              <a:srgbClr val="040459"/>
            </a:solidFill>
            <a:ln>
              <a:prstDash val="solid"/>
            </a:ln>
          </spPr>
          <dLbls>
            <numFmt formatCode="0.00"/>
            <dLblPos val="outEnd"/>
            <showVal val="1"/>
          </dLbls>
          <cat>
            <numRef>
              <f>'TCD2'!$B$2:$E$2</f>
            </numRef>
          </cat>
          <val>
            <numRef>
              <f>'TCD2'!$B$3:$E$3</f>
            </numRef>
          </val>
        </ser>
        <ser>
          <idx val="1"/>
          <order val="1"/>
          <tx>
            <strRef>
              <f>'TCD2'!A4</f>
            </strRef>
          </tx>
          <spPr>
            <a:solidFill>
              <a:srgbClr val="7d093f"/>
            </a:solidFill>
            <a:ln>
              <a:prstDash val="solid"/>
            </a:ln>
          </spPr>
          <dLbls>
            <numFmt formatCode="0.00"/>
            <dLblPos val="outEnd"/>
            <showVal val="1"/>
          </dLbls>
          <cat>
            <numRef>
              <f>'TCD2'!$B$2:$E$2</f>
            </numRef>
          </cat>
          <val>
            <numRef>
              <f>'TCD2'!$B$4:$E$4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d'écran (Heures)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Performance scolaire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Nombre de dépressifs par Âge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'TCD2'!B11</f>
            </strRef>
          </tx>
          <spPr>
            <a:solidFill>
              <a:srgbClr val="7D093F"/>
            </a:solidFill>
            <a:ln>
              <a:prstDash val="solid"/>
            </a:ln>
          </spPr>
          <cat>
            <numRef>
              <f>'TCD2'!$A$12:$A$18</f>
            </numRef>
          </cat>
          <val>
            <numRef>
              <f>'TCD2'!$B$12:$B$18</f>
            </numRef>
          </val>
        </ser>
        <dLbls>
          <dLblPos val="outEnd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Relation Sommeil / Dépression</a:t>
            </a:r>
          </a:p>
        </rich>
      </tx>
    </title>
    <plotArea>
      <scatterChart>
        <ser>
          <idx val="0"/>
          <order val="0"/>
          <tx>
            <v>Moyenne</v>
          </tx>
          <spPr>
            <a:solidFill>
              <a:srgbClr val="040459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'TCD2'!$A$22:$A$27</f>
            </numRef>
          </xVal>
          <yVal>
            <numRef>
              <f>'TCD2'!$B$22:$B$27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Temps de sommeil (h)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Niveau dépression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540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</row>
      <rowOff>0</rowOff>
    </from>
    <ext cx="360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54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</row>
      <rowOff>0</rowOff>
    </from>
    <ext cx="25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13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daa665137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daa665065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d8fe7134d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d8fe71215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3" max="3"/>
    <col width="12" customWidth="1" min="4" max="4"/>
    <col width="12" customWidth="1" min="6" max="6"/>
    <col width="12" customWidth="1" min="7" max="7"/>
    <col width="12" customWidth="1" min="9" max="9"/>
    <col width="15" customWidth="1" min="10" max="10"/>
    <col width="12" customWidth="1" min="11" max="11"/>
    <col width="15" customWidth="1" min="12" max="12"/>
    <col width="12" customWidth="1" min="13" max="13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30" customHeight="1">
      <c r="A1" s="1" t="inlineStr">
        <is>
          <t>Impact des réseaux sociaux sur la santé mentale</t>
        </is>
      </c>
      <c r="AA1" t="inlineStr">
        <is>
          <t>Tous</t>
        </is>
      </c>
      <c r="AB1" t="inlineStr">
        <is>
          <t>Tous</t>
        </is>
      </c>
      <c r="AC1" t="inlineStr">
        <is>
          <t>Tous</t>
        </is>
      </c>
      <c r="AD1" t="inlineStr">
        <is>
          <t>Tous</t>
        </is>
      </c>
    </row>
    <row r="2">
      <c r="AA2">
        <f>CALC!C2</f>
        <v/>
      </c>
      <c r="AB2">
        <f>CALC!A2</f>
        <v/>
      </c>
      <c r="AC2">
        <f>CALC!E2</f>
        <v/>
      </c>
      <c r="AD2">
        <f>CALC!G2</f>
        <v/>
      </c>
    </row>
    <row r="3" ht="25" customHeight="1">
      <c r="A3" s="2" t="inlineStr">
        <is>
          <t>Filtres :</t>
        </is>
      </c>
      <c r="C3" s="3" t="inlineStr">
        <is>
          <t>Âge</t>
        </is>
      </c>
      <c r="D3" s="4" t="inlineStr">
        <is>
          <t>Tous</t>
        </is>
      </c>
      <c r="F3" s="3" t="inlineStr">
        <is>
          <t>Genre</t>
        </is>
      </c>
      <c r="G3" s="4" t="inlineStr">
        <is>
          <t>Tous</t>
        </is>
      </c>
      <c r="I3" s="3" t="inlineStr">
        <is>
          <t>Plateforme</t>
        </is>
      </c>
      <c r="J3" s="4" t="inlineStr">
        <is>
          <t>Tous</t>
        </is>
      </c>
      <c r="L3" s="3" t="inlineStr">
        <is>
          <t>Interaction</t>
        </is>
      </c>
      <c r="M3" s="4" t="inlineStr">
        <is>
          <t>Tous</t>
        </is>
      </c>
      <c r="AA3">
        <f>CALC!C3</f>
        <v/>
      </c>
      <c r="AB3">
        <f>CALC!A3</f>
        <v/>
      </c>
      <c r="AC3">
        <f>CALC!E3</f>
        <v/>
      </c>
      <c r="AD3">
        <f>CALC!G3</f>
        <v/>
      </c>
    </row>
    <row r="4">
      <c r="AA4">
        <f>CALC!C4</f>
        <v/>
      </c>
      <c r="AC4">
        <f>CALC!E4</f>
        <v/>
      </c>
      <c r="AD4">
        <f>CALC!G4</f>
        <v/>
      </c>
    </row>
    <row r="5">
      <c r="AA5">
        <f>CALC!C5</f>
        <v/>
      </c>
    </row>
    <row r="6">
      <c r="AA6">
        <f>CALC!C6</f>
        <v/>
      </c>
    </row>
    <row r="7">
      <c r="AA7">
        <f>CALC!C7</f>
        <v/>
      </c>
    </row>
    <row r="8">
      <c r="AA8">
        <f>CALC!C8</f>
        <v/>
      </c>
    </row>
    <row r="16">
      <c r="J16" s="20" t="inlineStr">
        <is>
          <t>Réseau populaire</t>
        </is>
      </c>
      <c r="K16" s="11" t="n"/>
      <c r="L16" s="20" t="inlineStr">
        <is>
          <t>Dépressifs</t>
        </is>
      </c>
      <c r="M16" s="11" t="n"/>
    </row>
    <row r="17" ht="30" customHeight="1">
      <c r="J17" s="21">
        <f>TCD!A32</f>
        <v/>
      </c>
      <c r="K17" s="11" t="n"/>
      <c r="L17" s="21">
        <f>TCD!B34</f>
        <v/>
      </c>
      <c r="M17" s="11" t="n"/>
    </row>
    <row r="19">
      <c r="J19" s="20" t="inlineStr">
        <is>
          <t>Performance scolaire</t>
        </is>
      </c>
      <c r="K19" s="11" t="n"/>
      <c r="L19" s="20" t="inlineStr">
        <is>
          <t>Min / Max</t>
        </is>
      </c>
      <c r="M19" s="11" t="n"/>
    </row>
    <row r="20" ht="30" customHeight="1">
      <c r="J20" s="22">
        <f>TCD!D33</f>
        <v/>
      </c>
      <c r="K20" s="11" t="n"/>
      <c r="L20" s="23">
        <f>TCD!E34</f>
        <v/>
      </c>
      <c r="M20" s="23">
        <f>TCD!F34</f>
        <v/>
      </c>
    </row>
  </sheetData>
  <mergeCells count="8">
    <mergeCell ref="L17:M17"/>
    <mergeCell ref="J20:K20"/>
    <mergeCell ref="L16:M16"/>
    <mergeCell ref="J16:K16"/>
    <mergeCell ref="A1:O1"/>
    <mergeCell ref="J19:K19"/>
    <mergeCell ref="L19:M19"/>
    <mergeCell ref="J17:K17"/>
  </mergeCells>
  <dataValidations count="4">
    <dataValidation sqref="D3" showDropDown="0" showInputMessage="0" showErrorMessage="0" allowBlank="0" errorTitle="Entrée invalide" error="Sélectionnez une valeur valide" promptTitle="Filtrer" prompt="Sélectionnez un âge" type="list">
      <formula1>=$AA$1:$AA$8</formula1>
    </dataValidation>
    <dataValidation sqref="G3" showDropDown="0" showInputMessage="0" showErrorMessage="0" allowBlank="0" errorTitle="Entrée invalide" error="Sélectionnez une valeur valide" promptTitle="Filtrer" prompt="Sélectionnez un genre" type="list">
      <formula1>=$AB$1:$AB$3</formula1>
    </dataValidation>
    <dataValidation sqref="J3" showDropDown="0" showInputMessage="0" showErrorMessage="0" allowBlank="0" errorTitle="Entrée invalide" error="Sélectionnez une valeur valide" promptTitle="Filtrer" prompt="Sélectionnez un plateforme" type="list">
      <formula1>=$AC$1:$AC$4</formula1>
    </dataValidation>
    <dataValidation sqref="M3" showDropDown="0" showInputMessage="0" showErrorMessage="0" allowBlank="0" errorTitle="Entrée invalide" error="Sélectionnez une valeur valide" promptTitle="Filtrer" prompt="Sélectionnez un interaction" type="list">
      <formula1>=$AD$1:$AD$4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3" max="3"/>
    <col width="12" customWidth="1" min="4" max="4"/>
    <col width="12" customWidth="1" min="6" max="6"/>
    <col width="12" customWidth="1" min="7" max="7"/>
    <col width="12" customWidth="1" min="9" max="9"/>
    <col width="12" customWidth="1" min="10" max="10"/>
    <col width="12" customWidth="1" min="12" max="12"/>
    <col width="12" customWidth="1" min="13" max="13"/>
    <col hidden="1" width="13" customWidth="1" min="31" max="31"/>
    <col hidden="1" width="13" customWidth="1" min="32" max="32"/>
    <col hidden="1" width="13" customWidth="1" min="33" max="33"/>
    <col hidden="1" width="13" customWidth="1" min="34" max="34"/>
  </cols>
  <sheetData>
    <row r="1" ht="30" customHeight="1">
      <c r="A1" s="1" t="inlineStr">
        <is>
          <t>Impact des réseaux sociaux sur la santé mentale</t>
        </is>
      </c>
      <c r="AE1" t="inlineStr">
        <is>
          <t>Tous</t>
        </is>
      </c>
      <c r="AF1" t="inlineStr">
        <is>
          <t>Tous</t>
        </is>
      </c>
      <c r="AG1" t="inlineStr">
        <is>
          <t>Tous</t>
        </is>
      </c>
      <c r="AH1" t="inlineStr">
        <is>
          <t>Tous</t>
        </is>
      </c>
    </row>
    <row r="2">
      <c r="AE2">
        <f>CALC!C2</f>
        <v/>
      </c>
      <c r="AF2">
        <f>CALC!A2</f>
        <v/>
      </c>
      <c r="AG2">
        <f>CALC!E2</f>
        <v/>
      </c>
      <c r="AH2">
        <f>CALC!G2</f>
        <v/>
      </c>
    </row>
    <row r="3" ht="25" customHeight="1">
      <c r="A3" s="2" t="inlineStr">
        <is>
          <t>Filtres :</t>
        </is>
      </c>
      <c r="C3" s="3" t="inlineStr">
        <is>
          <t>Âge</t>
        </is>
      </c>
      <c r="D3" s="4" t="inlineStr">
        <is>
          <t>Tous</t>
        </is>
      </c>
      <c r="F3" s="3" t="inlineStr">
        <is>
          <t>Genre</t>
        </is>
      </c>
      <c r="G3" s="4" t="inlineStr">
        <is>
          <t>Tous</t>
        </is>
      </c>
      <c r="I3" s="3" t="inlineStr">
        <is>
          <t>Plateforme</t>
        </is>
      </c>
      <c r="J3" s="4" t="inlineStr">
        <is>
          <t>Tous</t>
        </is>
      </c>
      <c r="L3" s="3" t="inlineStr">
        <is>
          <t>Interaction</t>
        </is>
      </c>
      <c r="M3" s="4" t="inlineStr">
        <is>
          <t>Tous</t>
        </is>
      </c>
      <c r="AE3">
        <f>CALC!C3</f>
        <v/>
      </c>
      <c r="AF3">
        <f>CALC!A3</f>
        <v/>
      </c>
      <c r="AG3">
        <f>CALC!E3</f>
        <v/>
      </c>
      <c r="AH3">
        <f>CALC!G3</f>
        <v/>
      </c>
    </row>
    <row r="4">
      <c r="AE4">
        <f>CALC!C4</f>
        <v/>
      </c>
      <c r="AG4">
        <f>CALC!E4</f>
        <v/>
      </c>
      <c r="AH4">
        <f>CALC!G4</f>
        <v/>
      </c>
    </row>
    <row r="5">
      <c r="AE5">
        <f>CALC!C5</f>
        <v/>
      </c>
    </row>
    <row r="6" ht="20" customHeight="1">
      <c r="B6" s="24" t="inlineStr">
        <is>
          <t>Nombre de Dépressifs selon le genre</t>
        </is>
      </c>
      <c r="C6" s="10" t="n"/>
      <c r="D6" s="10" t="n"/>
      <c r="E6" s="11" t="n"/>
      <c r="AE6">
        <f>CALC!C6</f>
        <v/>
      </c>
    </row>
    <row r="7" ht="35" customHeight="1">
      <c r="B7" s="25">
        <f>TCD!B101</f>
        <v/>
      </c>
      <c r="C7" s="11" t="n"/>
      <c r="D7" s="26">
        <f>TCD!B102</f>
        <v/>
      </c>
      <c r="E7" s="11" t="n"/>
      <c r="AE7">
        <f>CALC!C7</f>
        <v/>
      </c>
    </row>
    <row r="8">
      <c r="AE8">
        <f>CALC!C8</f>
        <v/>
      </c>
    </row>
    <row r="10" ht="20" customHeight="1">
      <c r="B10" s="24" t="inlineStr">
        <is>
          <t>Niveau Addiction moyen selon le genre</t>
        </is>
      </c>
      <c r="C10" s="10" t="n"/>
      <c r="D10" s="10" t="n"/>
      <c r="E10" s="11" t="n"/>
    </row>
    <row r="11" ht="35" customHeight="1">
      <c r="B11" s="27">
        <f>TCD!B106</f>
        <v/>
      </c>
      <c r="C11" s="11" t="n"/>
      <c r="D11" s="28">
        <f>TCD!B107</f>
        <v/>
      </c>
      <c r="E11" s="11" t="n"/>
    </row>
  </sheetData>
  <mergeCells count="7">
    <mergeCell ref="D7:E7"/>
    <mergeCell ref="B7:C7"/>
    <mergeCell ref="B11:C11"/>
    <mergeCell ref="D11:E11"/>
    <mergeCell ref="B6:E6"/>
    <mergeCell ref="A1:O1"/>
    <mergeCell ref="B10:E10"/>
  </mergeCells>
  <dataValidations count="4">
    <dataValidation sqref="D3" showDropDown="0" showInputMessage="0" showErrorMessage="0" allowBlank="0" errorTitle="Entrée invalide" error="Sélectionnez une valeur valide" promptTitle="Filtrer" prompt="Sélectionnez un âge" type="list">
      <formula1>=$AE$1:$AE$8</formula1>
    </dataValidation>
    <dataValidation sqref="G3" showDropDown="0" showInputMessage="0" showErrorMessage="0" allowBlank="0" errorTitle="Entrée invalide" error="Sélectionnez une valeur valide" promptTitle="Filtrer" prompt="Sélectionnez un genre" type="list">
      <formula1>=$AF$1:$AF$3</formula1>
    </dataValidation>
    <dataValidation sqref="J3" showDropDown="0" showInputMessage="0" showErrorMessage="0" allowBlank="0" errorTitle="Entrée invalide" error="Sélectionnez une valeur valide" promptTitle="Filtrer" prompt="Sélectionnez un plateforme" type="list">
      <formula1>=$AG$1:$AG$4</formula1>
    </dataValidation>
    <dataValidation sqref="M3" showDropDown="0" showInputMessage="0" showErrorMessage="0" allowBlank="0" errorTitle="Entrée invalide" error="Sélectionnez une valeur valide" promptTitle="Filtrer" prompt="Sélectionnez un interaction" type="list">
      <formula1>=$AH$1:$AH$4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 outlineLevelCol="0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5" t="inlineStr">
        <is>
          <t>Dépression par Genre et Âge</t>
        </is>
      </c>
    </row>
    <row r="2">
      <c r="A2" s="3" t="inlineStr">
        <is>
          <t>Genre</t>
        </is>
      </c>
      <c r="B2" s="3">
        <f>IF(OR(TDB1!$D$3="Tous", IFERROR(INDEX(CALC!$C$2:$C$100,1),)=TDB1!$D$3), IFERROR(INDEX(CALC!$C$2:$C$100,1),""), "")</f>
        <v/>
      </c>
      <c r="C2" s="3">
        <f>IF(OR(TDB1!$D$3="Tous", IFERROR(INDEX(CALC!$C$2:$C$100,2),)=TDB1!$D$3), IFERROR(INDEX(CALC!$C$2:$C$100,2),""), "")</f>
        <v/>
      </c>
      <c r="D2" s="3">
        <f>IF(OR(TDB1!$D$3="Tous", IFERROR(INDEX(CALC!$C$2:$C$100,3),)=TDB1!$D$3), IFERROR(INDEX(CALC!$C$2:$C$100,3),""), "")</f>
        <v/>
      </c>
      <c r="E2" s="3">
        <f>IF(OR(TDB1!$D$3="Tous", IFERROR(INDEX(CALC!$C$2:$C$100,4),)=TDB1!$D$3), IFERROR(INDEX(CALC!$C$2:$C$100,4),""), "")</f>
        <v/>
      </c>
      <c r="F2" s="3">
        <f>IF(OR(TDB1!$D$3="Tous", IFERROR(INDEX(CALC!$C$2:$C$100,5),)=TDB1!$D$3), IFERROR(INDEX(CALC!$C$2:$C$100,5),""), "")</f>
        <v/>
      </c>
      <c r="G2" s="3">
        <f>IF(OR(TDB1!$D$3="Tous", IFERROR(INDEX(CALC!$C$2:$C$100,6),)=TDB1!$D$3), IFERROR(INDEX(CALC!$C$2:$C$100,6),""), "")</f>
        <v/>
      </c>
      <c r="H2" s="3">
        <f>IF(OR(TDB1!$D$3="Tous", IFERROR(INDEX(CALC!$C$2:$C$100,7),)=TDB1!$D$3), IFERROR(INDEX(CALC!$C$2:$C$100,7),""), "")</f>
        <v/>
      </c>
    </row>
    <row r="3">
      <c r="A3" s="4">
        <f>IF(OR(TDB1!$G$3="Tous", IFERROR(INDEX(CALC!$A$2:$A$100,1),)=TDB1!$G$3), IFERROR(INDEX(CALC!$A$2:$A$100,1),""), "")</f>
        <v/>
      </c>
      <c r="B3" s="6">
        <f>IF(AND(OR(TDB1!$D$3="Tous", IFERROR(INDEX(CALC!$C$2:$C$100,1),)=TDB1!$D$3), OR(TDB1!$G$3="Tous", IFERROR(INDEX(CALC!$A$2:$A$100,1),)=TDB1!$G$3)), IFERROR(COUNTIFS(DATA!$M:$M, 1, DATA!$B:$B, IF(TDB1!$G$3="Tous", IFERROR(INDEX(CALC!$A$2:$A$100,1),""), TDB1!$G$3), DATA!$A:$A, IF(TDB1!$D$3="Tous", IFERROR(INDEX(CALC!$C$2:$C$100,1),), TDB1!$D$3), DATA!$D:$D, IF(TDB1!$J$3="Tous", "&lt;&gt;", TDB1!$J$3), DATA!$I:$I, IF(TDB1!$M$3="Tous", "&lt;&gt;", TDB1!$M$3)), 0), "")</f>
        <v/>
      </c>
      <c r="C3" s="6">
        <f>IF(AND(OR(TDB1!$D$3="Tous", IFERROR(INDEX(CALC!$C$2:$C$100,2),)=TDB1!$D$3), OR(TDB1!$G$3="Tous", IFERROR(INDEX(CALC!$A$2:$A$100,1),)=TDB1!$G$3)), IFERROR(COUNTIFS(DATA!$M:$M, 1, DATA!$B:$B, IF(TDB1!$G$3="Tous", IFERROR(INDEX(CALC!$A$2:$A$100,1),""), TDB1!$G$3), DATA!$A:$A, IF(TDB1!$D$3="Tous", IFERROR(INDEX(CALC!$C$2:$C$100,2),), TDB1!$D$3), DATA!$D:$D, IF(TDB1!$J$3="Tous", "&lt;&gt;", TDB1!$J$3), DATA!$I:$I, IF(TDB1!$M$3="Tous", "&lt;&gt;", TDB1!$M$3)), 0), "")</f>
        <v/>
      </c>
      <c r="D3" s="6">
        <f>IF(AND(OR(TDB1!$D$3="Tous", IFERROR(INDEX(CALC!$C$2:$C$100,3),)=TDB1!$D$3), OR(TDB1!$G$3="Tous", IFERROR(INDEX(CALC!$A$2:$A$100,1),)=TDB1!$G$3)), IFERROR(COUNTIFS(DATA!$M:$M, 1, DATA!$B:$B, IF(TDB1!$G$3="Tous", IFERROR(INDEX(CALC!$A$2:$A$100,1),""), TDB1!$G$3), DATA!$A:$A, IF(TDB1!$D$3="Tous", IFERROR(INDEX(CALC!$C$2:$C$100,3),), TDB1!$D$3), DATA!$D:$D, IF(TDB1!$J$3="Tous", "&lt;&gt;", TDB1!$J$3), DATA!$I:$I, IF(TDB1!$M$3="Tous", "&lt;&gt;", TDB1!$M$3)), 0), "")</f>
        <v/>
      </c>
      <c r="E3" s="6">
        <f>IF(AND(OR(TDB1!$D$3="Tous", IFERROR(INDEX(CALC!$C$2:$C$100,4),)=TDB1!$D$3), OR(TDB1!$G$3="Tous", IFERROR(INDEX(CALC!$A$2:$A$100,1),)=TDB1!$G$3)), IFERROR(COUNTIFS(DATA!$M:$M, 1, DATA!$B:$B, IF(TDB1!$G$3="Tous", IFERROR(INDEX(CALC!$A$2:$A$100,1),""), TDB1!$G$3), DATA!$A:$A, IF(TDB1!$D$3="Tous", IFERROR(INDEX(CALC!$C$2:$C$100,4),), TDB1!$D$3), DATA!$D:$D, IF(TDB1!$J$3="Tous", "&lt;&gt;", TDB1!$J$3), DATA!$I:$I, IF(TDB1!$M$3="Tous", "&lt;&gt;", TDB1!$M$3)), 0), "")</f>
        <v/>
      </c>
      <c r="F3" s="6">
        <f>IF(AND(OR(TDB1!$D$3="Tous", IFERROR(INDEX(CALC!$C$2:$C$100,5),)=TDB1!$D$3), OR(TDB1!$G$3="Tous", IFERROR(INDEX(CALC!$A$2:$A$100,1),)=TDB1!$G$3)), IFERROR(COUNTIFS(DATA!$M:$M, 1, DATA!$B:$B, IF(TDB1!$G$3="Tous", IFERROR(INDEX(CALC!$A$2:$A$100,1),""), TDB1!$G$3), DATA!$A:$A, IF(TDB1!$D$3="Tous", IFERROR(INDEX(CALC!$C$2:$C$100,5),), TDB1!$D$3), DATA!$D:$D, IF(TDB1!$J$3="Tous", "&lt;&gt;", TDB1!$J$3), DATA!$I:$I, IF(TDB1!$M$3="Tous", "&lt;&gt;", TDB1!$M$3)), 0), "")</f>
        <v/>
      </c>
      <c r="G3" s="6">
        <f>IF(AND(OR(TDB1!$D$3="Tous", IFERROR(INDEX(CALC!$C$2:$C$100,6),)=TDB1!$D$3), OR(TDB1!$G$3="Tous", IFERROR(INDEX(CALC!$A$2:$A$100,1),)=TDB1!$G$3)), IFERROR(COUNTIFS(DATA!$M:$M, 1, DATA!$B:$B, IF(TDB1!$G$3="Tous", IFERROR(INDEX(CALC!$A$2:$A$100,1),""), TDB1!$G$3), DATA!$A:$A, IF(TDB1!$D$3="Tous", IFERROR(INDEX(CALC!$C$2:$C$100,6),), TDB1!$D$3), DATA!$D:$D, IF(TDB1!$J$3="Tous", "&lt;&gt;", TDB1!$J$3), DATA!$I:$I, IF(TDB1!$M$3="Tous", "&lt;&gt;", TDB1!$M$3)), 0), "")</f>
        <v/>
      </c>
      <c r="H3" s="6">
        <f>IF(AND(OR(TDB1!$D$3="Tous", IFERROR(INDEX(CALC!$C$2:$C$100,7),)=TDB1!$D$3), OR(TDB1!$G$3="Tous", IFERROR(INDEX(CALC!$A$2:$A$100,1),)=TDB1!$G$3)), IFERROR(COUNTIFS(DATA!$M:$M, 1, DATA!$B:$B, IF(TDB1!$G$3="Tous", IFERROR(INDEX(CALC!$A$2:$A$100,1),""), TDB1!$G$3), DATA!$A:$A, IF(TDB1!$D$3="Tous", IFERROR(INDEX(CALC!$C$2:$C$100,7),), TDB1!$D$3), DATA!$D:$D, IF(TDB1!$J$3="Tous", "&lt;&gt;", TDB1!$J$3), DATA!$I:$I, IF(TDB1!$M$3="Tous", "&lt;&gt;", TDB1!$M$3)), 0), "")</f>
        <v/>
      </c>
    </row>
    <row r="4">
      <c r="A4" s="4">
        <f>IF(OR(TDB1!$G$3="Tous", IFERROR(INDEX(CALC!$A$2:$A$100,2),)=TDB1!$G$3), IFERROR(INDEX(CALC!$A$2:$A$100,2),""), "")</f>
        <v/>
      </c>
      <c r="B4" s="6">
        <f>IF(AND(OR(TDB1!$D$3="Tous", IFERROR(INDEX(CALC!$C$2:$C$100,1),)=TDB1!$D$3), OR(TDB1!$G$3="Tous", IFERROR(INDEX(CALC!$A$2:$A$100,2),)=TDB1!$G$3)), IFERROR(COUNTIFS(DATA!$M:$M, 1, DATA!$B:$B, IF(TDB1!$G$3="Tous", IFERROR(INDEX(CALC!$A$2:$A$100,2),""), TDB1!$G$3), DATA!$A:$A, IF(TDB1!$D$3="Tous", IFERROR(INDEX(CALC!$C$2:$C$100,1),), TDB1!$D$3), DATA!$D:$D, IF(TDB1!$J$3="Tous", "&lt;&gt;", TDB1!$J$3), DATA!$I:$I, IF(TDB1!$M$3="Tous", "&lt;&gt;", TDB1!$M$3)), 0), "")</f>
        <v/>
      </c>
      <c r="C4" s="6">
        <f>IF(AND(OR(TDB1!$D$3="Tous", IFERROR(INDEX(CALC!$C$2:$C$100,2),)=TDB1!$D$3), OR(TDB1!$G$3="Tous", IFERROR(INDEX(CALC!$A$2:$A$100,2),)=TDB1!$G$3)), IFERROR(COUNTIFS(DATA!$M:$M, 1, DATA!$B:$B, IF(TDB1!$G$3="Tous", IFERROR(INDEX(CALC!$A$2:$A$100,2),""), TDB1!$G$3), DATA!$A:$A, IF(TDB1!$D$3="Tous", IFERROR(INDEX(CALC!$C$2:$C$100,2),), TDB1!$D$3), DATA!$D:$D, IF(TDB1!$J$3="Tous", "&lt;&gt;", TDB1!$J$3), DATA!$I:$I, IF(TDB1!$M$3="Tous", "&lt;&gt;", TDB1!$M$3)), 0), "")</f>
        <v/>
      </c>
      <c r="D4" s="6">
        <f>IF(AND(OR(TDB1!$D$3="Tous", IFERROR(INDEX(CALC!$C$2:$C$100,3),)=TDB1!$D$3), OR(TDB1!$G$3="Tous", IFERROR(INDEX(CALC!$A$2:$A$100,2),)=TDB1!$G$3)), IFERROR(COUNTIFS(DATA!$M:$M, 1, DATA!$B:$B, IF(TDB1!$G$3="Tous", IFERROR(INDEX(CALC!$A$2:$A$100,2),""), TDB1!$G$3), DATA!$A:$A, IF(TDB1!$D$3="Tous", IFERROR(INDEX(CALC!$C$2:$C$100,3),), TDB1!$D$3), DATA!$D:$D, IF(TDB1!$J$3="Tous", "&lt;&gt;", TDB1!$J$3), DATA!$I:$I, IF(TDB1!$M$3="Tous", "&lt;&gt;", TDB1!$M$3)), 0), "")</f>
        <v/>
      </c>
      <c r="E4" s="6">
        <f>IF(AND(OR(TDB1!$D$3="Tous", IFERROR(INDEX(CALC!$C$2:$C$100,4),)=TDB1!$D$3), OR(TDB1!$G$3="Tous", IFERROR(INDEX(CALC!$A$2:$A$100,2),)=TDB1!$G$3)), IFERROR(COUNTIFS(DATA!$M:$M, 1, DATA!$B:$B, IF(TDB1!$G$3="Tous", IFERROR(INDEX(CALC!$A$2:$A$100,2),""), TDB1!$G$3), DATA!$A:$A, IF(TDB1!$D$3="Tous", IFERROR(INDEX(CALC!$C$2:$C$100,4),), TDB1!$D$3), DATA!$D:$D, IF(TDB1!$J$3="Tous", "&lt;&gt;", TDB1!$J$3), DATA!$I:$I, IF(TDB1!$M$3="Tous", "&lt;&gt;", TDB1!$M$3)), 0), "")</f>
        <v/>
      </c>
      <c r="F4" s="6">
        <f>IF(AND(OR(TDB1!$D$3="Tous", IFERROR(INDEX(CALC!$C$2:$C$100,5),)=TDB1!$D$3), OR(TDB1!$G$3="Tous", IFERROR(INDEX(CALC!$A$2:$A$100,2),)=TDB1!$G$3)), IFERROR(COUNTIFS(DATA!$M:$M, 1, DATA!$B:$B, IF(TDB1!$G$3="Tous", IFERROR(INDEX(CALC!$A$2:$A$100,2),""), TDB1!$G$3), DATA!$A:$A, IF(TDB1!$D$3="Tous", IFERROR(INDEX(CALC!$C$2:$C$100,5),), TDB1!$D$3), DATA!$D:$D, IF(TDB1!$J$3="Tous", "&lt;&gt;", TDB1!$J$3), DATA!$I:$I, IF(TDB1!$M$3="Tous", "&lt;&gt;", TDB1!$M$3)), 0), "")</f>
        <v/>
      </c>
      <c r="G4" s="6">
        <f>IF(AND(OR(TDB1!$D$3="Tous", IFERROR(INDEX(CALC!$C$2:$C$100,6),)=TDB1!$D$3), OR(TDB1!$G$3="Tous", IFERROR(INDEX(CALC!$A$2:$A$100,2),)=TDB1!$G$3)), IFERROR(COUNTIFS(DATA!$M:$M, 1, DATA!$B:$B, IF(TDB1!$G$3="Tous", IFERROR(INDEX(CALC!$A$2:$A$100,2),""), TDB1!$G$3), DATA!$A:$A, IF(TDB1!$D$3="Tous", IFERROR(INDEX(CALC!$C$2:$C$100,6),), TDB1!$D$3), DATA!$D:$D, IF(TDB1!$J$3="Tous", "&lt;&gt;", TDB1!$J$3), DATA!$I:$I, IF(TDB1!$M$3="Tous", "&lt;&gt;", TDB1!$M$3)), 0), "")</f>
        <v/>
      </c>
      <c r="H4" s="6">
        <f>IF(AND(OR(TDB1!$D$3="Tous", IFERROR(INDEX(CALC!$C$2:$C$100,7),)=TDB1!$D$3), OR(TDB1!$G$3="Tous", IFERROR(INDEX(CALC!$A$2:$A$100,2),)=TDB1!$G$3)), IFERROR(COUNTIFS(DATA!$M:$M, 1, DATA!$B:$B, IF(TDB1!$G$3="Tous", IFERROR(INDEX(CALC!$A$2:$A$100,2),""), TDB1!$G$3), DATA!$A:$A, IF(TDB1!$D$3="Tous", IFERROR(INDEX(CALC!$C$2:$C$100,7),), TDB1!$D$3), DATA!$D:$D, IF(TDB1!$J$3="Tous", "&lt;&gt;", TDB1!$J$3), DATA!$I:$I, IF(TDB1!$M$3="Tous", "&lt;&gt;", TDB1!$M$3)), 0), "")</f>
        <v/>
      </c>
    </row>
    <row r="10" ht="25" customHeight="1">
      <c r="A10" s="5" t="inlineStr">
        <is>
          <t>Addiction Moyenne par Genre et Âge</t>
        </is>
      </c>
    </row>
    <row r="11">
      <c r="A11" s="3" t="inlineStr">
        <is>
          <t>Genre</t>
        </is>
      </c>
      <c r="B11" s="3">
        <f>IF(OR(TDB1!$D$3="Tous", IFERROR(INDEX(CALC!$C$2:$C$100,1),)=TDB1!$D$3), IFERROR(INDEX(CALC!$C$2:$C$100,1),""), "")</f>
        <v/>
      </c>
      <c r="C11" s="3">
        <f>IF(OR(TDB1!$D$3="Tous", IFERROR(INDEX(CALC!$C$2:$C$100,2),)=TDB1!$D$3), IFERROR(INDEX(CALC!$C$2:$C$100,2),""), "")</f>
        <v/>
      </c>
      <c r="D11" s="3">
        <f>IF(OR(TDB1!$D$3="Tous", IFERROR(INDEX(CALC!$C$2:$C$100,3),)=TDB1!$D$3), IFERROR(INDEX(CALC!$C$2:$C$100,3),""), "")</f>
        <v/>
      </c>
      <c r="E11" s="3">
        <f>IF(OR(TDB1!$D$3="Tous", IFERROR(INDEX(CALC!$C$2:$C$100,4),)=TDB1!$D$3), IFERROR(INDEX(CALC!$C$2:$C$100,4),""), "")</f>
        <v/>
      </c>
      <c r="F11" s="3">
        <f>IF(OR(TDB1!$D$3="Tous", IFERROR(INDEX(CALC!$C$2:$C$100,5),)=TDB1!$D$3), IFERROR(INDEX(CALC!$C$2:$C$100,5),""), "")</f>
        <v/>
      </c>
      <c r="G11" s="3">
        <f>IF(OR(TDB1!$D$3="Tous", IFERROR(INDEX(CALC!$C$2:$C$100,6),)=TDB1!$D$3), IFERROR(INDEX(CALC!$C$2:$C$100,6),""), "")</f>
        <v/>
      </c>
      <c r="H11" s="3">
        <f>IF(OR(TDB1!$D$3="Tous", IFERROR(INDEX(CALC!$C$2:$C$100,7),)=TDB1!$D$3), IFERROR(INDEX(CALC!$C$2:$C$100,7),""), "")</f>
        <v/>
      </c>
    </row>
    <row r="12">
      <c r="A12" s="17">
        <f>IF(OR(TDB1!$G$3="Tous", IFERROR(INDEX(CALC!$A$2:$A$100,1),)=TDB1!$G$3), IFERROR(INDEX(CALC!$A$2:$A$100,1),""), "")</f>
        <v/>
      </c>
      <c r="B12" s="6">
        <f>IF(AND(OR(TDB1!$D$3="Tous", IFERROR(INDEX(CALC!$C$2:$C$100,1),)=TDB1!$D$3), OR(TDB1!$G$3="Tous", IFERROR(INDEX(CALC!$A$2:$A$100,1),)=TDB1!$G$3)), IFERROR(AVERAGEIFS(DATA!$L:$L, DATA!$B:$B, IF(TDB1!$G$3="Tous", IFERROR(INDEX(CALC!$A$2:$A$100,1),""), TDB1!$G$3), DATA!$A:$A, IF(TDB1!$D$3="Tous", IFERROR(INDEX(CALC!$C$2:$C$100,1),), TDB1!$D$3), DATA!$D:$D, IF(TDB1!$J$3="Tous", "&lt;&gt;", TDB1!$J$3), DATA!$I:$I, IF(TDB1!$M$3="Tous", "&lt;&gt;", TDB1!$M$3)), 0), "")</f>
        <v/>
      </c>
      <c r="C12" s="6">
        <f>IF(AND(OR(TDB1!$D$3="Tous", IFERROR(INDEX(CALC!$C$2:$C$100,2),)=TDB1!$D$3), OR(TDB1!$G$3="Tous", IFERROR(INDEX(CALC!$A$2:$A$100,1),)=TDB1!$G$3)), IFERROR(AVERAGEIFS(DATA!$L:$L, DATA!$B:$B, IF(TDB1!$G$3="Tous", IFERROR(INDEX(CALC!$A$2:$A$100,1),""), TDB1!$G$3), DATA!$A:$A, IF(TDB1!$D$3="Tous", IFERROR(INDEX(CALC!$C$2:$C$100,2),), TDB1!$D$3), DATA!$D:$D, IF(TDB1!$J$3="Tous", "&lt;&gt;", TDB1!$J$3), DATA!$I:$I, IF(TDB1!$M$3="Tous", "&lt;&gt;", TDB1!$M$3)), 0), "")</f>
        <v/>
      </c>
      <c r="D12" s="6">
        <f>IF(AND(OR(TDB1!$D$3="Tous", IFERROR(INDEX(CALC!$C$2:$C$100,3),)=TDB1!$D$3), OR(TDB1!$G$3="Tous", IFERROR(INDEX(CALC!$A$2:$A$100,1),)=TDB1!$G$3)), IFERROR(AVERAGEIFS(DATA!$L:$L, DATA!$B:$B, IF(TDB1!$G$3="Tous", IFERROR(INDEX(CALC!$A$2:$A$100,1),""), TDB1!$G$3), DATA!$A:$A, IF(TDB1!$D$3="Tous", IFERROR(INDEX(CALC!$C$2:$C$100,3),), TDB1!$D$3), DATA!$D:$D, IF(TDB1!$J$3="Tous", "&lt;&gt;", TDB1!$J$3), DATA!$I:$I, IF(TDB1!$M$3="Tous", "&lt;&gt;", TDB1!$M$3)), 0), "")</f>
        <v/>
      </c>
      <c r="E12" s="6">
        <f>IF(AND(OR(TDB1!$D$3="Tous", IFERROR(INDEX(CALC!$C$2:$C$100,4),)=TDB1!$D$3), OR(TDB1!$G$3="Tous", IFERROR(INDEX(CALC!$A$2:$A$100,1),)=TDB1!$G$3)), IFERROR(AVERAGEIFS(DATA!$L:$L, DATA!$B:$B, IF(TDB1!$G$3="Tous", IFERROR(INDEX(CALC!$A$2:$A$100,1),""), TDB1!$G$3), DATA!$A:$A, IF(TDB1!$D$3="Tous", IFERROR(INDEX(CALC!$C$2:$C$100,4),), TDB1!$D$3), DATA!$D:$D, IF(TDB1!$J$3="Tous", "&lt;&gt;", TDB1!$J$3), DATA!$I:$I, IF(TDB1!$M$3="Tous", "&lt;&gt;", TDB1!$M$3)), 0), "")</f>
        <v/>
      </c>
      <c r="F12" s="6">
        <f>IF(AND(OR(TDB1!$D$3="Tous", IFERROR(INDEX(CALC!$C$2:$C$100,5),)=TDB1!$D$3), OR(TDB1!$G$3="Tous", IFERROR(INDEX(CALC!$A$2:$A$100,1),)=TDB1!$G$3)), IFERROR(AVERAGEIFS(DATA!$L:$L, DATA!$B:$B, IF(TDB1!$G$3="Tous", IFERROR(INDEX(CALC!$A$2:$A$100,1),""), TDB1!$G$3), DATA!$A:$A, IF(TDB1!$D$3="Tous", IFERROR(INDEX(CALC!$C$2:$C$100,5),), TDB1!$D$3), DATA!$D:$D, IF(TDB1!$J$3="Tous", "&lt;&gt;", TDB1!$J$3), DATA!$I:$I, IF(TDB1!$M$3="Tous", "&lt;&gt;", TDB1!$M$3)), 0), "")</f>
        <v/>
      </c>
      <c r="G12" s="6">
        <f>IF(AND(OR(TDB1!$D$3="Tous", IFERROR(INDEX(CALC!$C$2:$C$100,6),)=TDB1!$D$3), OR(TDB1!$G$3="Tous", IFERROR(INDEX(CALC!$A$2:$A$100,1),)=TDB1!$G$3)), IFERROR(AVERAGEIFS(DATA!$L:$L, DATA!$B:$B, IF(TDB1!$G$3="Tous", IFERROR(INDEX(CALC!$A$2:$A$100,1),""), TDB1!$G$3), DATA!$A:$A, IF(TDB1!$D$3="Tous", IFERROR(INDEX(CALC!$C$2:$C$100,6),), TDB1!$D$3), DATA!$D:$D, IF(TDB1!$J$3="Tous", "&lt;&gt;", TDB1!$J$3), DATA!$I:$I, IF(TDB1!$M$3="Tous", "&lt;&gt;", TDB1!$M$3)), 0), "")</f>
        <v/>
      </c>
      <c r="H12" s="6">
        <f>IF(AND(OR(TDB1!$D$3="Tous", IFERROR(INDEX(CALC!$C$2:$C$100,7),)=TDB1!$D$3), OR(TDB1!$G$3="Tous", IFERROR(INDEX(CALC!$A$2:$A$100,1),)=TDB1!$G$3)), IFERROR(AVERAGEIFS(DATA!$L:$L, DATA!$B:$B, IF(TDB1!$G$3="Tous", IFERROR(INDEX(CALC!$A$2:$A$100,1),""), TDB1!$G$3), DATA!$A:$A, IF(TDB1!$D$3="Tous", IFERROR(INDEX(CALC!$C$2:$C$100,7),), TDB1!$D$3), DATA!$D:$D, IF(TDB1!$J$3="Tous", "&lt;&gt;", TDB1!$J$3), DATA!$I:$I, IF(TDB1!$M$3="Tous", "&lt;&gt;", TDB1!$M$3)), 0), "")</f>
        <v/>
      </c>
    </row>
    <row r="13">
      <c r="A13" s="17">
        <f>IF(OR(TDB1!$G$3="Tous", IFERROR(INDEX(CALC!$A$2:$A$100,2),)=TDB1!$G$3), IFERROR(INDEX(CALC!$A$2:$A$100,2),""), "")</f>
        <v/>
      </c>
      <c r="B13" s="6">
        <f>IF(AND(OR(TDB1!$D$3="Tous", IFERROR(INDEX(CALC!$C$2:$C$100,1),)=TDB1!$D$3), OR(TDB1!$G$3="Tous", IFERROR(INDEX(CALC!$A$2:$A$100,2),)=TDB1!$G$3)), IFERROR(AVERAGEIFS(DATA!$L:$L, DATA!$B:$B, IF(TDB1!$G$3="Tous", IFERROR(INDEX(CALC!$A$2:$A$100,2),""), TDB1!$G$3), DATA!$A:$A, IF(TDB1!$D$3="Tous", IFERROR(INDEX(CALC!$C$2:$C$100,1),), TDB1!$D$3), DATA!$D:$D, IF(TDB1!$J$3="Tous", "&lt;&gt;", TDB1!$J$3), DATA!$I:$I, IF(TDB1!$M$3="Tous", "&lt;&gt;", TDB1!$M$3)), 0), "")</f>
        <v/>
      </c>
      <c r="C13" s="6">
        <f>IF(AND(OR(TDB1!$D$3="Tous", IFERROR(INDEX(CALC!$C$2:$C$100,2),)=TDB1!$D$3), OR(TDB1!$G$3="Tous", IFERROR(INDEX(CALC!$A$2:$A$100,2),)=TDB1!$G$3)), IFERROR(AVERAGEIFS(DATA!$L:$L, DATA!$B:$B, IF(TDB1!$G$3="Tous", IFERROR(INDEX(CALC!$A$2:$A$100,2),""), TDB1!$G$3), DATA!$A:$A, IF(TDB1!$D$3="Tous", IFERROR(INDEX(CALC!$C$2:$C$100,2),), TDB1!$D$3), DATA!$D:$D, IF(TDB1!$J$3="Tous", "&lt;&gt;", TDB1!$J$3), DATA!$I:$I, IF(TDB1!$M$3="Tous", "&lt;&gt;", TDB1!$M$3)), 0), "")</f>
        <v/>
      </c>
      <c r="D13" s="6">
        <f>IF(AND(OR(TDB1!$D$3="Tous", IFERROR(INDEX(CALC!$C$2:$C$100,3),)=TDB1!$D$3), OR(TDB1!$G$3="Tous", IFERROR(INDEX(CALC!$A$2:$A$100,2),)=TDB1!$G$3)), IFERROR(AVERAGEIFS(DATA!$L:$L, DATA!$B:$B, IF(TDB1!$G$3="Tous", IFERROR(INDEX(CALC!$A$2:$A$100,2),""), TDB1!$G$3), DATA!$A:$A, IF(TDB1!$D$3="Tous", IFERROR(INDEX(CALC!$C$2:$C$100,3),), TDB1!$D$3), DATA!$D:$D, IF(TDB1!$J$3="Tous", "&lt;&gt;", TDB1!$J$3), DATA!$I:$I, IF(TDB1!$M$3="Tous", "&lt;&gt;", TDB1!$M$3)), 0), "")</f>
        <v/>
      </c>
      <c r="E13" s="6">
        <f>IF(AND(OR(TDB1!$D$3="Tous", IFERROR(INDEX(CALC!$C$2:$C$100,4),)=TDB1!$D$3), OR(TDB1!$G$3="Tous", IFERROR(INDEX(CALC!$A$2:$A$100,2),)=TDB1!$G$3)), IFERROR(AVERAGEIFS(DATA!$L:$L, DATA!$B:$B, IF(TDB1!$G$3="Tous", IFERROR(INDEX(CALC!$A$2:$A$100,2),""), TDB1!$G$3), DATA!$A:$A, IF(TDB1!$D$3="Tous", IFERROR(INDEX(CALC!$C$2:$C$100,4),), TDB1!$D$3), DATA!$D:$D, IF(TDB1!$J$3="Tous", "&lt;&gt;", TDB1!$J$3), DATA!$I:$I, IF(TDB1!$M$3="Tous", "&lt;&gt;", TDB1!$M$3)), 0), "")</f>
        <v/>
      </c>
      <c r="F13" s="6">
        <f>IF(AND(OR(TDB1!$D$3="Tous", IFERROR(INDEX(CALC!$C$2:$C$100,5),)=TDB1!$D$3), OR(TDB1!$G$3="Tous", IFERROR(INDEX(CALC!$A$2:$A$100,2),)=TDB1!$G$3)), IFERROR(AVERAGEIFS(DATA!$L:$L, DATA!$B:$B, IF(TDB1!$G$3="Tous", IFERROR(INDEX(CALC!$A$2:$A$100,2),""), TDB1!$G$3), DATA!$A:$A, IF(TDB1!$D$3="Tous", IFERROR(INDEX(CALC!$C$2:$C$100,5),), TDB1!$D$3), DATA!$D:$D, IF(TDB1!$J$3="Tous", "&lt;&gt;", TDB1!$J$3), DATA!$I:$I, IF(TDB1!$M$3="Tous", "&lt;&gt;", TDB1!$M$3)), 0), "")</f>
        <v/>
      </c>
      <c r="G13" s="6">
        <f>IF(AND(OR(TDB1!$D$3="Tous", IFERROR(INDEX(CALC!$C$2:$C$100,6),)=TDB1!$D$3), OR(TDB1!$G$3="Tous", IFERROR(INDEX(CALC!$A$2:$A$100,2),)=TDB1!$G$3)), IFERROR(AVERAGEIFS(DATA!$L:$L, DATA!$B:$B, IF(TDB1!$G$3="Tous", IFERROR(INDEX(CALC!$A$2:$A$100,2),""), TDB1!$G$3), DATA!$A:$A, IF(TDB1!$D$3="Tous", IFERROR(INDEX(CALC!$C$2:$C$100,6),), TDB1!$D$3), DATA!$D:$D, IF(TDB1!$J$3="Tous", "&lt;&gt;", TDB1!$J$3), DATA!$I:$I, IF(TDB1!$M$3="Tous", "&lt;&gt;", TDB1!$M$3)), 0), "")</f>
        <v/>
      </c>
      <c r="H13" s="6">
        <f>IF(AND(OR(TDB1!$D$3="Tous", IFERROR(INDEX(CALC!$C$2:$C$100,7),)=TDB1!$D$3), OR(TDB1!$G$3="Tous", IFERROR(INDEX(CALC!$A$2:$A$100,2),)=TDB1!$G$3)), IFERROR(AVERAGEIFS(DATA!$L:$L, DATA!$B:$B, IF(TDB1!$G$3="Tous", IFERROR(INDEX(CALC!$A$2:$A$100,2),""), TDB1!$G$3), DATA!$A:$A, IF(TDB1!$D$3="Tous", IFERROR(INDEX(CALC!$C$2:$C$100,7),), TDB1!$D$3), DATA!$D:$D, IF(TDB1!$J$3="Tous", "&lt;&gt;", TDB1!$J$3), DATA!$I:$I, IF(TDB1!$M$3="Tous", "&lt;&gt;", TDB1!$M$3)), 0), "")</f>
        <v/>
      </c>
    </row>
    <row r="20" ht="25" customHeight="1">
      <c r="A20" s="5" t="inlineStr">
        <is>
          <t>Statistiques Addiction par Âge (pour Boxplot)</t>
        </is>
      </c>
    </row>
    <row r="21">
      <c r="A21" s="3" t="inlineStr">
        <is>
          <t>Âge</t>
        </is>
      </c>
      <c r="B21" s="3" t="inlineStr">
        <is>
          <t>Min</t>
        </is>
      </c>
      <c r="C21" s="3" t="inlineStr">
        <is>
          <t>Q1</t>
        </is>
      </c>
      <c r="D21" s="3" t="inlineStr">
        <is>
          <t>Médiane</t>
        </is>
      </c>
      <c r="E21" s="3" t="inlineStr">
        <is>
          <t>Q3</t>
        </is>
      </c>
      <c r="F21" s="3" t="inlineStr">
        <is>
          <t>Max</t>
        </is>
      </c>
      <c r="G21" s="3" t="inlineStr">
        <is>
          <t>Moyenne</t>
        </is>
      </c>
      <c r="H21" s="3" t="inlineStr">
        <is>
          <t>Écart-type</t>
        </is>
      </c>
    </row>
    <row r="22">
      <c r="A22" s="4">
        <f>IFERROR(INDEX(CALC!$C$2:$C$1000,1),"")</f>
        <v/>
      </c>
      <c r="B22" s="7">
        <f t="array" ref="B22">MIN(IF((DATA!$A$2:$A$1201=$A22)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2" s="7">
        <f t="array" ref="C22">QUARTILE(IF((DATA!$A$2:$A$1201=$A22)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2" s="7">
        <f t="array" ref="D22">MEDIAN(IF((DATA!$A$2:$A$1201=$A22)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2" s="7">
        <f t="array" ref="E22">QUARTILE(IF((DATA!$A$2:$A$1201=$A22)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2" s="7">
        <f t="array" ref="F22">MAX(IF((DATA!$A$2:$A$1201=$A22)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2" s="7">
        <f>IFERROR(AVERAGEIFS(DATA!$L$2:$L$1201, DATA!$A$2:$A$1201, $A22,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2" s="7">
        <f t="array" ref="H22">STDEV(IF((DATA!$A$2:$A$1201=$A22)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3">
      <c r="A23" s="4">
        <f>IFERROR(INDEX(CALC!$C$2:$C$1000,2),"")</f>
        <v/>
      </c>
      <c r="B23" s="7">
        <f t="array" ref="B23">MIN(IF((DATA!$A$2:$A$1201=$A23)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3" s="7">
        <f t="array" ref="C23">QUARTILE(IF((DATA!$A$2:$A$1201=$A23)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3" s="7">
        <f t="array" ref="D23">MEDIAN(IF((DATA!$A$2:$A$1201=$A23)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3" s="7">
        <f t="array" ref="E23">QUARTILE(IF((DATA!$A$2:$A$1201=$A23)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3" s="7">
        <f t="array" ref="F23">MAX(IF((DATA!$A$2:$A$1201=$A23)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3" s="7">
        <f>IFERROR(AVERAGEIFS(DATA!$L$2:$L$1201, DATA!$A$2:$A$1201, $A23,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3" s="7">
        <f t="array" ref="H23">STDEV(IF((DATA!$A$2:$A$1201=$A23)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4">
      <c r="A24" s="4">
        <f>IFERROR(INDEX(CALC!$C$2:$C$1000,3),"")</f>
        <v/>
      </c>
      <c r="B24" s="7">
        <f t="array" ref="B24">MIN(IF((DATA!$A$2:$A$1201=$A24)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4" s="7">
        <f t="array" ref="C24">QUARTILE(IF((DATA!$A$2:$A$1201=$A24)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4" s="7">
        <f t="array" ref="D24">MEDIAN(IF((DATA!$A$2:$A$1201=$A24)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4" s="7">
        <f t="array" ref="E24">QUARTILE(IF((DATA!$A$2:$A$1201=$A24)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4" s="7">
        <f t="array" ref="F24">MAX(IF((DATA!$A$2:$A$1201=$A24)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4" s="7">
        <f>IFERROR(AVERAGEIFS(DATA!$L$2:$L$1201, DATA!$A$2:$A$1201, $A24,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4" s="7">
        <f t="array" ref="H24">STDEV(IF((DATA!$A$2:$A$1201=$A24)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5">
      <c r="A25" s="4">
        <f>IFERROR(INDEX(CALC!$C$2:$C$1000,4),"")</f>
        <v/>
      </c>
      <c r="B25" s="7">
        <f t="array" ref="B25">MIN(IF((DATA!$A$2:$A$1201=$A25)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5" s="7">
        <f t="array" ref="C25">QUARTILE(IF((DATA!$A$2:$A$1201=$A25)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5" s="7">
        <f t="array" ref="D25">MEDIAN(IF((DATA!$A$2:$A$1201=$A25)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5" s="7">
        <f t="array" ref="E25">QUARTILE(IF((DATA!$A$2:$A$1201=$A25)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5" s="7">
        <f t="array" ref="F25">MAX(IF((DATA!$A$2:$A$1201=$A25)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5" s="7">
        <f>IFERROR(AVERAGEIFS(DATA!$L$2:$L$1201, DATA!$A$2:$A$1201, $A25,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5" s="7">
        <f t="array" ref="H25">STDEV(IF((DATA!$A$2:$A$1201=$A25)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6">
      <c r="A26" s="4">
        <f>IFERROR(INDEX(CALC!$C$2:$C$1000,5),"")</f>
        <v/>
      </c>
      <c r="B26" s="7">
        <f t="array" ref="B26">MIN(IF((DATA!$A$2:$A$1201=$A26)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6" s="7">
        <f t="array" ref="C26">QUARTILE(IF((DATA!$A$2:$A$1201=$A26)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6" s="7">
        <f t="array" ref="D26">MEDIAN(IF((DATA!$A$2:$A$1201=$A26)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6" s="7">
        <f t="array" ref="E26">QUARTILE(IF((DATA!$A$2:$A$1201=$A26)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6" s="7">
        <f t="array" ref="F26">MAX(IF((DATA!$A$2:$A$1201=$A26)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6" s="7">
        <f>IFERROR(AVERAGEIFS(DATA!$L$2:$L$1201, DATA!$A$2:$A$1201, $A26,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6" s="7">
        <f t="array" ref="H26">STDEV(IF((DATA!$A$2:$A$1201=$A26)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7">
      <c r="A27" s="4">
        <f>IFERROR(INDEX(CALC!$C$2:$C$1000,6),"")</f>
        <v/>
      </c>
      <c r="B27" s="7">
        <f t="array" ref="B27">MIN(IF((DATA!$A$2:$A$1201=$A27)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7" s="7">
        <f t="array" ref="C27">QUARTILE(IF((DATA!$A$2:$A$1201=$A27)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7" s="7">
        <f t="array" ref="D27">MEDIAN(IF((DATA!$A$2:$A$1201=$A27)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7" s="7">
        <f t="array" ref="E27">QUARTILE(IF((DATA!$A$2:$A$1201=$A27)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7" s="7">
        <f t="array" ref="F27">MAX(IF((DATA!$A$2:$A$1201=$A27)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7" s="7">
        <f>IFERROR(AVERAGEIFS(DATA!$L$2:$L$1201, DATA!$A$2:$A$1201, $A27,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7" s="7">
        <f t="array" ref="H27">STDEV(IF((DATA!$A$2:$A$1201=$A27)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8">
      <c r="A28" s="4">
        <f>IFERROR(INDEX(CALC!$C$2:$C$1000,7),"")</f>
        <v/>
      </c>
      <c r="B28" s="7">
        <f t="array" ref="B28">MIN(IF((DATA!$A$2:$A$1201=$A28)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8" s="7">
        <f t="array" ref="C28">QUARTILE(IF((DATA!$A$2:$A$1201=$A28)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8" s="7">
        <f t="array" ref="D28">MEDIAN(IF((DATA!$A$2:$A$1201=$A28)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8" s="7">
        <f t="array" ref="E28">QUARTILE(IF((DATA!$A$2:$A$1201=$A28)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8" s="7">
        <f t="array" ref="F28">MAX(IF((DATA!$A$2:$A$1201=$A28)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8" s="7">
        <f>IFERROR(AVERAGEIFS(DATA!$L$2:$L$1201, DATA!$A$2:$A$1201, $A28,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8" s="7">
        <f t="array" ref="H28">STDEV(IF((DATA!$A$2:$A$1201=$A28)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30" ht="25" customHeight="1">
      <c r="A30" s="8" t="inlineStr">
        <is>
          <t>Indicateurs Clés (KPI) - Personnes Dépressives</t>
        </is>
      </c>
    </row>
    <row r="32" ht="20" customHeight="1">
      <c r="A32" s="9" t="inlineStr">
        <is>
          <t>Réseau le plus utilisé</t>
        </is>
      </c>
      <c r="B32" s="10" t="n"/>
      <c r="C32" s="11" t="n"/>
      <c r="D32" s="9" t="inlineStr">
        <is>
          <t>Performance scolaire moyenne</t>
        </is>
      </c>
      <c r="E32" s="10" t="n"/>
      <c r="F32" s="11" t="n"/>
    </row>
    <row r="33" ht="35" customHeight="1">
      <c r="A33" s="12">
        <f t="array" ref="A33">INDEX(DATA!$D$2:$D$1201, MATCH(MAX(COUNTIFS(DATA!$D$2:$D$1201, DATA!$D$2:$D$1201,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TDB1!$M$3))), COUNTIFS(DATA!$D$2:$D$1201, DATA!$D$2:$D$1201,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0))</f>
        <v/>
      </c>
      <c r="B33" s="10" t="n"/>
      <c r="C33" s="11" t="n"/>
      <c r="D33" s="13">
        <f>IFERROR(AVERAGEIFS(DATA!$G$2:$G$1201,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E33" s="10" t="n"/>
      <c r="F33" s="11" t="n"/>
    </row>
    <row r="34">
      <c r="A34" s="14" t="inlineStr">
        <is>
          <t>Nombre de dépressifs</t>
        </is>
      </c>
      <c r="B34" s="15">
        <f>IFERROR(COUNTIFS(DATA!$M$2:$M$1201, 1, DATA!$B$2:$B$1201, IF(TDB1!$G$3="Tous", "&lt;&gt;", TDB1!$G$3), DATA!$A$2:$A$1201, IF(TDB1!$D$3="Tous", "&lt;&gt;", TDB1!$D$3), DATA!$D$2:$D$1201, IF(TDB1!$J$3="Tous", "&lt;&gt;", TDB1!$J$3), DATA!$I$2:$I$1201, IF(TDB1!$M$3="Tous", "&lt;&gt;", TDB1!$M$3)), 0)</f>
        <v/>
      </c>
      <c r="D34" s="14" t="inlineStr">
        <is>
          <t>Min / Max</t>
        </is>
      </c>
      <c r="E34" s="16">
        <f t="array" ref="E34">MIN(IF((DATA!$M$2:$M$1201=1) * IF(TDB1!$G$3="Tous", 1, DATA!$B$2:$B$1201=TDB1!$G$3) * IF(TDB1!$D$3="Tous", 1, DATA!$A$2:$A$1201=TDB1!$D$3) * IF(TDB1!$J$3="Tous", 1, DATA!$D$2:$D$1201=TDB1!$J$3) * IF(TDB1!$M$3="Tous", 1, DATA!$I$2:$I$1201=TDB1!$M$3), DATA!$G$2:$G$1201))</f>
        <v/>
      </c>
      <c r="F34" s="16">
        <f t="array" ref="F34">MAX(IF((DATA!$M$2:$M$1201=1) * IF(TDB1!$G$3="Tous", 1, DATA!$B$2:$B$1201=TDB1!$G$3) * IF(TDB1!$D$3="Tous", 1, DATA!$A$2:$A$1201=TDB1!$D$3) * IF(TDB1!$J$3="Tous", 1, DATA!$D$2:$D$1201=TDB1!$J$3) * IF(TDB1!$M$3="Tous", 1, DATA!$I$2:$I$1201=TDB1!$M$3), DATA!$G$2:$G$1201))</f>
        <v/>
      </c>
    </row>
    <row r="100">
      <c r="A100" s="29" t="inlineStr">
        <is>
          <t>Genre</t>
        </is>
      </c>
      <c r="B100" s="29" t="inlineStr">
        <is>
          <t>Dépressifs</t>
        </is>
      </c>
    </row>
    <row r="101">
      <c r="A101" t="inlineStr">
        <is>
          <t>Male</t>
        </is>
      </c>
      <c r="B101" s="19">
        <f>IF(OR(TDB2!$G$3="Tous", TDB2!$G$3="Male"), IFERROR(COUNTIFS(DATA!$M$2:$M$1201, 1, DATA!$B$2:$B$1201, "male", DATA!$D$2:$D$1201, IF(TDB2!$J$3="Tous", "&lt;&gt;", TDB2!$J$3), DATA!$I$2:$I$1201, IF(TDB2!$M$3="Tous", "&lt;&gt;", TDB2!$M$3), DATA!$A$2:$A$1201, IF(TDB2!$D$3="Tous", "&lt;&gt;", TDB2!$D$3)), 0), 0)</f>
        <v/>
      </c>
    </row>
    <row r="102">
      <c r="A102" t="inlineStr">
        <is>
          <t>Female</t>
        </is>
      </c>
      <c r="B102" s="19">
        <f>IF(OR(TDB2!$G$3="Tous", TDB2!$G$3="Female"), IFERROR(COUNTIFS(DATA!$M$2:$M$1201, 1, DATA!$B$2:$B$1201, "female", DATA!$D$2:$D$1201, IF(TDB2!$J$3="Tous", "&lt;&gt;", TDB2!$J$3), DATA!$I$2:$I$1201, IF(TDB2!$M$3="Tous", "&lt;&gt;", TDB2!$M$3), DATA!$A$2:$A$1201, IF(TDB2!$D$3="Tous", "&lt;&gt;", TDB2!$D$3)), 0), 0)</f>
        <v/>
      </c>
    </row>
    <row r="105">
      <c r="A105" s="29" t="inlineStr">
        <is>
          <t>Genre</t>
        </is>
      </c>
      <c r="B105" s="29" t="inlineStr">
        <is>
          <t>Addiction Moyenne</t>
        </is>
      </c>
    </row>
    <row r="106">
      <c r="A106" t="inlineStr">
        <is>
          <t>Male</t>
        </is>
      </c>
      <c r="B106" s="30">
        <f>IF(OR(TDB2!$G$3="Tous", TDB2!$G$3="Male"), IFERROR(AVERAGEIFS(DATA!$L$2:$L$1201, DATA!$B$2:$B$1201, "male", DATA!$D$2:$D$1201, IF(TDB2!$J$3="Tous", "&lt;&gt;", TDB2!$J$3), DATA!$I$2:$I$1201, IF(TDB2!$M$3="Tous", "&lt;&gt;", TDB2!$M$3), DATA!$A$2:$A$1201, IF(TDB2!$D$3="Tous", "&lt;&gt;", TDB2!$D$3)), 0), 0)</f>
        <v/>
      </c>
    </row>
    <row r="107">
      <c r="A107" t="inlineStr">
        <is>
          <t>Female</t>
        </is>
      </c>
      <c r="B107" s="30">
        <f>IF(OR(TDB2!$G$3="Tous", TDB2!$G$3="Female"), IFERROR(AVERAGEIFS(DATA!$L$2:$L$1201, DATA!$B$2:$B$1201, "female", DATA!$D$2:$D$1201, IF(TDB2!$J$3="Tous", "&lt;&gt;", TDB2!$J$3), DATA!$I$2:$I$1201, IF(TDB2!$M$3="Tous", "&lt;&gt;", TDB2!$M$3), DATA!$A$2:$A$1201, IF(TDB2!$D$3="Tous", "&lt;&gt;", TDB2!$D$3)), 0), 0)</f>
        <v/>
      </c>
    </row>
    <row r="120">
      <c r="A120" s="18" t="inlineStr">
        <is>
          <t>Total Dépression Genre</t>
        </is>
      </c>
    </row>
    <row r="121">
      <c r="A121" t="inlineStr">
        <is>
          <t>Genre</t>
        </is>
      </c>
      <c r="B121" t="inlineStr">
        <is>
          <t>Total</t>
        </is>
      </c>
    </row>
    <row r="122">
      <c r="A122" t="inlineStr">
        <is>
          <t>Male</t>
        </is>
      </c>
      <c r="B122" s="19">
        <f>IF(OR(TDB1!$G$3="Tous", TDB1!$G$3="Male"), IFERROR(COUNTIFS(DATA!$M$2:$M$1201, 1, DATA!$B$2:$B$1201, "male", DATA!$D$2:$D$1201, IF(TDB1!$J$3="Tous", "&lt;&gt;", TDB1!$J$3), DATA!$I$2:$I$1201, IF(TDB1!$M$3="Tous", "&lt;&gt;", TDB1!$M$3), DATA!$A$2:$A$1201, IF(TDB1!$D$3="Tous", "&lt;&gt;", TDB1!$D$3)), 0), 0)</f>
        <v/>
      </c>
    </row>
    <row r="123">
      <c r="A123" t="inlineStr">
        <is>
          <t>Female</t>
        </is>
      </c>
      <c r="B123" s="19">
        <f>IF(OR(TDB1!$G$3="Tous", TDB1!$G$3="Female"), IFERROR(COUNTIFS(DATA!$M$2:$M$1201, 1, DATA!$B$2:$B$1201, "female", DATA!$D$2:$D$1201, IF(TDB1!$J$3="Tous", "&lt;&gt;", TDB1!$J$3), DATA!$I$2:$I$1201, IF(TDB1!$M$3="Tous", "&lt;&gt;", TDB1!$M$3), DATA!$A$2:$A$1201, IF(TDB1!$D$3="Tous", "&lt;&gt;", TDB1!$D$3)), 0), 0)</f>
        <v/>
      </c>
    </row>
  </sheetData>
  <mergeCells count="8">
    <mergeCell ref="A1:J1"/>
    <mergeCell ref="A30:H30"/>
    <mergeCell ref="A33:C33"/>
    <mergeCell ref="A32:C32"/>
    <mergeCell ref="A20:H20"/>
    <mergeCell ref="D32:F32"/>
    <mergeCell ref="A10:J10"/>
    <mergeCell ref="D33:F3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</cols>
  <sheetData>
    <row r="1">
      <c r="A1" s="5" t="inlineStr">
        <is>
          <t>Performance Scolaire Moyenne par Sexe et Temps d'Écran</t>
        </is>
      </c>
    </row>
    <row r="2">
      <c r="A2" s="31" t="inlineStr">
        <is>
          <t>Sexe</t>
        </is>
      </c>
      <c r="B2" s="31" t="inlineStr">
        <is>
          <t>0-1h</t>
        </is>
      </c>
      <c r="C2" s="31" t="inlineStr">
        <is>
          <t>1-2h</t>
        </is>
      </c>
      <c r="D2" s="31" t="inlineStr">
        <is>
          <t>2-3h</t>
        </is>
      </c>
      <c r="E2" s="31" t="inlineStr">
        <is>
          <t>3-4h</t>
        </is>
      </c>
    </row>
    <row r="3">
      <c r="A3" t="inlineStr">
        <is>
          <t>Male</t>
        </is>
      </c>
      <c r="B3">
        <f>IFERROR(AVERAGEIFS(DATA!$G:$G, DATA!$B:$B, "male", DATA!$F:$F, "&gt;="&amp;0, DATA!$F:$F, "&lt;"&amp;1, DATA!$A:$A, IF(TDB2!$D$3="Tous", "&lt;&gt;", TDB2!$D$3), DATA!$D:$D, IF(TDB2!$J$3="Tous", "&lt;&gt;", TDB2!$J$3), DATA!$I:$I, IF(TDB2!$M$3="Tous", "&lt;&gt;", TDB2!$M$3)), 0)</f>
        <v/>
      </c>
      <c r="C3">
        <f>IFERROR(AVERAGEIFS(DATA!$G:$G, DATA!$B:$B, "male", DATA!$F:$F, "&gt;="&amp;1, DATA!$F:$F, "&lt;"&amp;2, DATA!$A:$A, IF(TDB2!$D$3="Tous", "&lt;&gt;", TDB2!$D$3), DATA!$D:$D, IF(TDB2!$J$3="Tous", "&lt;&gt;", TDB2!$J$3), DATA!$I:$I, IF(TDB2!$M$3="Tous", "&lt;&gt;", TDB2!$M$3)), 0)</f>
        <v/>
      </c>
      <c r="D3">
        <f>IFERROR(AVERAGEIFS(DATA!$G:$G, DATA!$B:$B, "male", DATA!$F:$F, "&gt;="&amp;2, DATA!$F:$F, "&lt;"&amp;3, DATA!$A:$A, IF(TDB2!$D$3="Tous", "&lt;&gt;", TDB2!$D$3), DATA!$D:$D, IF(TDB2!$J$3="Tous", "&lt;&gt;", TDB2!$J$3), DATA!$I:$I, IF(TDB2!$M$3="Tous", "&lt;&gt;", TDB2!$M$3)), 0)</f>
        <v/>
      </c>
      <c r="E3">
        <f>IFERROR(AVERAGEIFS(DATA!$G:$G, DATA!$B:$B, "male", DATA!$F:$F, "&gt;="&amp;3, DATA!$F:$F, "&lt;"&amp;4, DATA!$A:$A, IF(TDB2!$D$3="Tous", "&lt;&gt;", TDB2!$D$3), DATA!$D:$D, IF(TDB2!$J$3="Tous", "&lt;&gt;", TDB2!$J$3), DATA!$I:$I, IF(TDB2!$M$3="Tous", "&lt;&gt;", TDB2!$M$3)), 0)</f>
        <v/>
      </c>
    </row>
    <row r="4">
      <c r="A4" t="inlineStr">
        <is>
          <t>Female</t>
        </is>
      </c>
      <c r="B4">
        <f>IFERROR(AVERAGEIFS(DATA!$G:$G, DATA!$B:$B, "female", DATA!$F:$F, "&gt;="&amp;0, DATA!$F:$F, "&lt;"&amp;1, DATA!$A:$A, IF(TDB2!$D$3="Tous", "&lt;&gt;", TDB2!$D$3), DATA!$D:$D, IF(TDB2!$J$3="Tous", "&lt;&gt;", TDB2!$J$3), DATA!$I:$I, IF(TDB2!$M$3="Tous", "&lt;&gt;", TDB2!$M$3)), 0)</f>
        <v/>
      </c>
      <c r="C4">
        <f>IFERROR(AVERAGEIFS(DATA!$G:$G, DATA!$B:$B, "female", DATA!$F:$F, "&gt;="&amp;1, DATA!$F:$F, "&lt;"&amp;2, DATA!$A:$A, IF(TDB2!$D$3="Tous", "&lt;&gt;", TDB2!$D$3), DATA!$D:$D, IF(TDB2!$J$3="Tous", "&lt;&gt;", TDB2!$J$3), DATA!$I:$I, IF(TDB2!$M$3="Tous", "&lt;&gt;", TDB2!$M$3)), 0)</f>
        <v/>
      </c>
      <c r="D4">
        <f>IFERROR(AVERAGEIFS(DATA!$G:$G, DATA!$B:$B, "female", DATA!$F:$F, "&gt;="&amp;2, DATA!$F:$F, "&lt;"&amp;3, DATA!$A:$A, IF(TDB2!$D$3="Tous", "&lt;&gt;", TDB2!$D$3), DATA!$D:$D, IF(TDB2!$J$3="Tous", "&lt;&gt;", TDB2!$J$3), DATA!$I:$I, IF(TDB2!$M$3="Tous", "&lt;&gt;", TDB2!$M$3)), 0)</f>
        <v/>
      </c>
      <c r="E4">
        <f>IFERROR(AVERAGEIFS(DATA!$G:$G, DATA!$B:$B, "female", DATA!$F:$F, "&gt;="&amp;3, DATA!$F:$F, "&lt;"&amp;4, DATA!$A:$A, IF(TDB2!$D$3="Tous", "&lt;&gt;", TDB2!$D$3), DATA!$D:$D, IF(TDB2!$J$3="Tous", "&lt;&gt;", TDB2!$J$3), DATA!$I:$I, IF(TDB2!$M$3="Tous", "&lt;&gt;", TDB2!$M$3)), 0)</f>
        <v/>
      </c>
    </row>
    <row r="10" ht="25" customHeight="1">
      <c r="A10" s="5" t="inlineStr">
        <is>
          <t>Nombre de dépressifs par Âge</t>
        </is>
      </c>
    </row>
    <row r="11">
      <c r="A11" s="32" t="inlineStr">
        <is>
          <t>Âge</t>
        </is>
      </c>
      <c r="B11" s="32" t="inlineStr">
        <is>
          <t>Nombre de dépressifs</t>
        </is>
      </c>
    </row>
    <row r="12">
      <c r="A12" s="33">
        <f>IF(OR(TDB2!$D$3="Tous", IFERROR(INDEX(CALC!$C$2:$C$100,1),)=TDB2!$D$3), IFERROR(INDEX(CALC!$C$2:$C$100,1),""), "")</f>
        <v/>
      </c>
      <c r="B12" s="6">
        <f>IF(OR(TDB2!$D$3="Tous", IFERROR(INDEX(CALC!$C$2:$C$100,1),)=TDB2!$D$3), IFERROR(COUNTIFS(DATA!$M$2:$M$1201, 1, DATA!$A$2:$A$1201, IF(TDB2!$D$3="Tous", IFERROR(INDEX(CALC!$C$2:$C$100,1),), TDB2!$D$3), DATA!$B$2:$B$1201, IF(TDB2!$G$3="Tous", "&lt;&gt;", TDB2!$G$3), DATA!$D$2:$D$1201, IF(TDB2!$J$3="Tous", "&lt;&gt;", TDB2!$J$3), DATA!$I$2:$I$1201, IF(TDB2!$M$3="Tous", "&lt;&gt;", TDB2!$M$3)), 0), "")</f>
        <v/>
      </c>
    </row>
    <row r="13">
      <c r="A13" s="33">
        <f>IF(OR(TDB2!$D$3="Tous", IFERROR(INDEX(CALC!$C$2:$C$100,2),)=TDB2!$D$3), IFERROR(INDEX(CALC!$C$2:$C$100,2),""), "")</f>
        <v/>
      </c>
      <c r="B13" s="6">
        <f>IF(OR(TDB2!$D$3="Tous", IFERROR(INDEX(CALC!$C$2:$C$100,2),)=TDB2!$D$3), IFERROR(COUNTIFS(DATA!$M$2:$M$1201, 1, DATA!$A$2:$A$1201, IF(TDB2!$D$3="Tous", IFERROR(INDEX(CALC!$C$2:$C$100,2),), TDB2!$D$3), DATA!$B$2:$B$1201, IF(TDB2!$G$3="Tous", "&lt;&gt;", TDB2!$G$3), DATA!$D$2:$D$1201, IF(TDB2!$J$3="Tous", "&lt;&gt;", TDB2!$J$3), DATA!$I$2:$I$1201, IF(TDB2!$M$3="Tous", "&lt;&gt;", TDB2!$M$3)), 0), "")</f>
        <v/>
      </c>
    </row>
    <row r="14">
      <c r="A14" s="33">
        <f>IF(OR(TDB2!$D$3="Tous", IFERROR(INDEX(CALC!$C$2:$C$100,3),)=TDB2!$D$3), IFERROR(INDEX(CALC!$C$2:$C$100,3),""), "")</f>
        <v/>
      </c>
      <c r="B14" s="6">
        <f>IF(OR(TDB2!$D$3="Tous", IFERROR(INDEX(CALC!$C$2:$C$100,3),)=TDB2!$D$3), IFERROR(COUNTIFS(DATA!$M$2:$M$1201, 1, DATA!$A$2:$A$1201, IF(TDB2!$D$3="Tous", IFERROR(INDEX(CALC!$C$2:$C$100,3),), TDB2!$D$3), DATA!$B$2:$B$1201, IF(TDB2!$G$3="Tous", "&lt;&gt;", TDB2!$G$3), DATA!$D$2:$D$1201, IF(TDB2!$J$3="Tous", "&lt;&gt;", TDB2!$J$3), DATA!$I$2:$I$1201, IF(TDB2!$M$3="Tous", "&lt;&gt;", TDB2!$M$3)), 0), "")</f>
        <v/>
      </c>
    </row>
    <row r="15">
      <c r="A15" s="33">
        <f>IF(OR(TDB2!$D$3="Tous", IFERROR(INDEX(CALC!$C$2:$C$100,4),)=TDB2!$D$3), IFERROR(INDEX(CALC!$C$2:$C$100,4),""), "")</f>
        <v/>
      </c>
      <c r="B15" s="6">
        <f>IF(OR(TDB2!$D$3="Tous", IFERROR(INDEX(CALC!$C$2:$C$100,4),)=TDB2!$D$3), IFERROR(COUNTIFS(DATA!$M$2:$M$1201, 1, DATA!$A$2:$A$1201, IF(TDB2!$D$3="Tous", IFERROR(INDEX(CALC!$C$2:$C$100,4),), TDB2!$D$3), DATA!$B$2:$B$1201, IF(TDB2!$G$3="Tous", "&lt;&gt;", TDB2!$G$3), DATA!$D$2:$D$1201, IF(TDB2!$J$3="Tous", "&lt;&gt;", TDB2!$J$3), DATA!$I$2:$I$1201, IF(TDB2!$M$3="Tous", "&lt;&gt;", TDB2!$M$3)), 0), "")</f>
        <v/>
      </c>
    </row>
    <row r="16">
      <c r="A16" s="33">
        <f>IF(OR(TDB2!$D$3="Tous", IFERROR(INDEX(CALC!$C$2:$C$100,5),)=TDB2!$D$3), IFERROR(INDEX(CALC!$C$2:$C$100,5),""), "")</f>
        <v/>
      </c>
      <c r="B16" s="6">
        <f>IF(OR(TDB2!$D$3="Tous", IFERROR(INDEX(CALC!$C$2:$C$100,5),)=TDB2!$D$3), IFERROR(COUNTIFS(DATA!$M$2:$M$1201, 1, DATA!$A$2:$A$1201, IF(TDB2!$D$3="Tous", IFERROR(INDEX(CALC!$C$2:$C$100,5),), TDB2!$D$3), DATA!$B$2:$B$1201, IF(TDB2!$G$3="Tous", "&lt;&gt;", TDB2!$G$3), DATA!$D$2:$D$1201, IF(TDB2!$J$3="Tous", "&lt;&gt;", TDB2!$J$3), DATA!$I$2:$I$1201, IF(TDB2!$M$3="Tous", "&lt;&gt;", TDB2!$M$3)), 0), "")</f>
        <v/>
      </c>
    </row>
    <row r="17">
      <c r="A17" s="33">
        <f>IF(OR(TDB2!$D$3="Tous", IFERROR(INDEX(CALC!$C$2:$C$100,6),)=TDB2!$D$3), IFERROR(INDEX(CALC!$C$2:$C$100,6),""), "")</f>
        <v/>
      </c>
      <c r="B17" s="6">
        <f>IF(OR(TDB2!$D$3="Tous", IFERROR(INDEX(CALC!$C$2:$C$100,6),)=TDB2!$D$3), IFERROR(COUNTIFS(DATA!$M$2:$M$1201, 1, DATA!$A$2:$A$1201, IF(TDB2!$D$3="Tous", IFERROR(INDEX(CALC!$C$2:$C$100,6),), TDB2!$D$3), DATA!$B$2:$B$1201, IF(TDB2!$G$3="Tous", "&lt;&gt;", TDB2!$G$3), DATA!$D$2:$D$1201, IF(TDB2!$J$3="Tous", "&lt;&gt;", TDB2!$J$3), DATA!$I$2:$I$1201, IF(TDB2!$M$3="Tous", "&lt;&gt;", TDB2!$M$3)), 0), "")</f>
        <v/>
      </c>
    </row>
    <row r="18">
      <c r="A18" s="33">
        <f>IF(OR(TDB2!$D$3="Tous", IFERROR(INDEX(CALC!$C$2:$C$100,7),)=TDB2!$D$3), IFERROR(INDEX(CALC!$C$2:$C$100,7),""), "")</f>
        <v/>
      </c>
      <c r="B18" s="6">
        <f>IF(OR(TDB2!$D$3="Tous", IFERROR(INDEX(CALC!$C$2:$C$100,7),)=TDB2!$D$3), IFERROR(COUNTIFS(DATA!$M$2:$M$1201, 1, DATA!$A$2:$A$1201, IF(TDB2!$D$3="Tous", IFERROR(INDEX(CALC!$C$2:$C$100,7),), TDB2!$D$3), DATA!$B$2:$B$1201, IF(TDB2!$G$3="Tous", "&lt;&gt;", TDB2!$G$3), DATA!$D$2:$D$1201, IF(TDB2!$J$3="Tous", "&lt;&gt;", TDB2!$J$3), DATA!$I$2:$I$1201, IF(TDB2!$M$3="Tous", "&lt;&gt;", TDB2!$M$3)), 0), "")</f>
        <v/>
      </c>
    </row>
    <row r="20">
      <c r="A20" s="5" t="inlineStr">
        <is>
          <t>Données : Sommeil vs Dépression</t>
        </is>
      </c>
    </row>
    <row r="21">
      <c r="A21" s="34" t="inlineStr">
        <is>
          <t>Sommeil (Milieu)</t>
        </is>
      </c>
      <c r="B21" s="34" t="inlineStr">
        <is>
          <t>Moyenne Dépression</t>
        </is>
      </c>
    </row>
    <row r="22">
      <c r="A22" t="n">
        <v>4.5</v>
      </c>
      <c r="B22">
        <f>IFERROR(AVERAGEIFS(DATA!$M:$M, DATA!$E:$E, "&gt;="&amp;4, DATA!$E:$E, "&lt;"&amp;5, DATA!$A:$A, IF(TDB2!$D$3="Tous", "&lt;&gt;", TDB2!$D$3), DATA!$B:$B, IF(TDB2!$G$3="Tous", "&lt;&gt;", TDB2!$G$3)), 0)</f>
        <v/>
      </c>
    </row>
    <row r="23">
      <c r="A23" t="n">
        <v>5.5</v>
      </c>
      <c r="B23">
        <f>IFERROR(AVERAGEIFS(DATA!$M:$M, DATA!$E:$E, "&gt;="&amp;5, DATA!$E:$E, "&lt;"&amp;6, DATA!$A:$A, IF(TDB2!$D$3="Tous", "&lt;&gt;", TDB2!$D$3), DATA!$B:$B, IF(TDB2!$G$3="Tous", "&lt;&gt;", TDB2!$G$3)), 0)</f>
        <v/>
      </c>
    </row>
    <row r="24">
      <c r="A24" t="n">
        <v>6.5</v>
      </c>
      <c r="B24">
        <f>IFERROR(AVERAGEIFS(DATA!$M:$M, DATA!$E:$E, "&gt;="&amp;6, DATA!$E:$E, "&lt;"&amp;7, DATA!$A:$A, IF(TDB2!$D$3="Tous", "&lt;&gt;", TDB2!$D$3), DATA!$B:$B, IF(TDB2!$G$3="Tous", "&lt;&gt;", TDB2!$G$3)), 0)</f>
        <v/>
      </c>
    </row>
    <row r="25">
      <c r="A25" t="n">
        <v>7.5</v>
      </c>
      <c r="B25">
        <f>IFERROR(AVERAGEIFS(DATA!$M:$M, DATA!$E:$E, "&gt;="&amp;7, DATA!$E:$E, "&lt;"&amp;8, DATA!$A:$A, IF(TDB2!$D$3="Tous", "&lt;&gt;", TDB2!$D$3), DATA!$B:$B, IF(TDB2!$G$3="Tous", "&lt;&gt;", TDB2!$G$3)), 0)</f>
        <v/>
      </c>
    </row>
    <row r="26">
      <c r="A26" t="n">
        <v>8.5</v>
      </c>
      <c r="B26">
        <f>IFERROR(AVERAGEIFS(DATA!$M:$M, DATA!$E:$E, "&gt;="&amp;8, DATA!$E:$E, "&lt;"&amp;9, DATA!$A:$A, IF(TDB2!$D$3="Tous", "&lt;&gt;", TDB2!$D$3), DATA!$B:$B, IF(TDB2!$G$3="Tous", "&lt;&gt;", TDB2!$G$3)), 0)</f>
        <v/>
      </c>
    </row>
    <row r="27">
      <c r="A27" t="n">
        <v>9.5</v>
      </c>
      <c r="B27">
        <f>IFERROR(AVERAGEIFS(DATA!$M:$M, DATA!$E:$E, "&gt;="&amp;9, DATA!$E:$E, "&lt;"&amp;10, DATA!$A:$A, IF(TDB2!$D$3="Tous", "&lt;&gt;", TDB2!$D$3), DATA!$B:$B, IF(TDB2!$G$3="Tous", "&lt;&gt;", TDB2!$G$3)), 0)</f>
        <v/>
      </c>
    </row>
  </sheetData>
  <mergeCells count="3">
    <mergeCell ref="A20:B20"/>
    <mergeCell ref="A10:B10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2026-06-13T16:11:05Z</dcterms:created>
  <dcterms:modified xsi:type="dcterms:W3CDTF">2026-06-13T16:11:13Z</dcterms:modified>
</cp:coreProperties>
</file>