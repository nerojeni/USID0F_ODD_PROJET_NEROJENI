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DB1" sheetId="1" state="visible" r:id="rId1"/>
    <sheet name="TDB2" sheetId="2" state="visible" r:id="rId2"/>
    <sheet name="DATA" sheetId="3" state="visible" r:id="rId3"/>
    <sheet name="TDB4" sheetId="4" state="visible" r:id="rId4"/>
    <sheet name="Correlations" sheetId="5" state="visible" r:id="rId5"/>
    <sheet name="CALC" sheetId="6" state="visible" r:id="rId6"/>
    <sheet name="TCD" sheetId="7" state="visible" r:id="rId7"/>
    <sheet name="TCD2" sheetId="8" state="visible" r:id="rId8"/>
    <sheet name="TCD3" sheetId="9" state="visible" r:id="rId9"/>
    <sheet name="TDB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0"/>
    </font>
    <font>
      <b val="1"/>
      <color rgb="00FFFFFF"/>
      <sz val="10"/>
    </font>
    <font>
      <b val="1"/>
      <color rgb="00000000"/>
      <sz val="10"/>
    </font>
    <font>
      <b val="1"/>
      <color rgb="00FFFFFF"/>
      <sz val="12"/>
    </font>
    <font>
      <b val="1"/>
      <color rgb="00FFFFFF"/>
      <sz val="11"/>
    </font>
    <font>
      <b val="1"/>
      <color rgb="00FFFFFF"/>
      <sz val="16"/>
    </font>
    <font>
      <b val="1"/>
      <sz val="11"/>
    </font>
    <font>
      <b val="1"/>
      <sz val="9"/>
    </font>
    <font>
      <b val="1"/>
      <color rgb="FF003D6B"/>
      <sz val="14"/>
    </font>
    <font>
      <b val="1"/>
      <color rgb="FF003D6B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FF003D6B"/>
        <bgColor rgb="FF003D6B"/>
      </patternFill>
    </fill>
    <fill>
      <patternFill patternType="solid">
        <fgColor rgb="00FFFFFF"/>
        <bgColor rgb="00FFFFFF"/>
      </patternFill>
    </fill>
    <fill>
      <patternFill patternType="solid">
        <fgColor rgb="00040459"/>
        <bgColor rgb="00040459"/>
      </patternFill>
    </fill>
    <fill>
      <patternFill patternType="solid">
        <fgColor rgb="007D093F"/>
        <bgColor rgb="007D093F"/>
      </patternFill>
    </fill>
    <fill>
      <patternFill patternType="solid">
        <fgColor rgb="FF008080"/>
        <bgColor rgb="FF008080"/>
      </patternFill>
    </fill>
    <fill>
      <patternFill patternType="solid">
        <fgColor rgb="FFB3E5E0"/>
        <bgColor rgb="FFB3E5E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2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" fontId="8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/>
    </xf>
    <xf numFmtId="0" fontId="9" fillId="0" borderId="0" pivotButton="0" quotePrefix="0" xfId="0"/>
    <xf numFmtId="1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2" fontId="10" fillId="3" borderId="1" applyAlignment="1" pivotButton="0" quotePrefix="0" xfId="0">
      <alignment horizontal="center" vertical="center" wrapText="1"/>
    </xf>
    <xf numFmtId="2" fontId="11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1" fontId="7" fillId="4" borderId="1" applyAlignment="1" pivotButton="0" quotePrefix="0" xfId="0">
      <alignment horizontal="center" vertical="center"/>
    </xf>
    <xf numFmtId="1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0" fontId="12" fillId="0" borderId="0" pivotButton="0" quotePrefix="0" xfId="0"/>
    <xf numFmtId="164" fontId="0" fillId="0" borderId="0" pivotButton="0" quotePrefix="0" xfId="0"/>
    <xf numFmtId="0" fontId="0" fillId="6" borderId="1" pivotButton="0" quotePrefix="0" xfId="0"/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2" borderId="0" pivotButton="0" quotePrefix="0" xfId="0"/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2" fillId="0" borderId="6" pivotButton="0" quotePrefix="0" xfId="0"/>
    <xf numFmtId="2" fontId="0" fillId="0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Addiction moyenne par âge et genre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'TCD'!A12</f>
            </strRef>
          </tx>
          <spPr>
            <a:solidFill>
              <a:srgbClr val="040459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'TCD'!$B$11:$H$11</f>
            </numRef>
          </cat>
          <val>
            <numRef>
              <f>'TCD'!$B$12:$H$12</f>
            </numRef>
          </val>
        </ser>
        <ser>
          <idx val="1"/>
          <order val="1"/>
          <tx>
            <strRef>
              <f>'TCD'!A13</f>
            </strRef>
          </tx>
          <spPr>
            <a:solidFill>
              <a:srgbClr val="7d093f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'TCD'!$B$11:$H$11</f>
            </numRef>
          </cat>
          <val>
            <numRef>
              <f>'TCD'!$B$13:$H$13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 la dépression selon le genre</a:t>
            </a:r>
          </a:p>
        </rich>
      </tx>
    </title>
    <plotArea>
      <pieChart>
        <varyColors val="1"/>
        <ser>
          <idx val="0"/>
          <order val="0"/>
          <tx>
            <strRef>
              <f>'TCD'!B121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40459"/>
              </a:solidFill>
              <a:ln>
                <a:prstDash val="solid"/>
              </a:ln>
            </spPr>
          </dPt>
          <dPt>
            <idx val="1"/>
            <spPr>
              <a:solidFill>
                <a:srgbClr val="7D093F"/>
              </a:solidFill>
              <a:ln>
                <a:prstDash val="solid"/>
              </a:ln>
            </spPr>
          </dPt>
          <cat>
            <numRef>
              <f>'TCD'!$A$122:$A$123</f>
            </numRef>
          </cat>
          <val>
            <numRef>
              <f>'TCD'!$B$122:$B$123</f>
            </numRef>
          </val>
        </ser>
        <dLbls>
          <showVal val="0"/>
          <showCatName val="1"/>
          <showPercent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niveau Addiction selon l'âge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'TCD'!B21</f>
            </strRef>
          </tx>
          <spPr>
            <a:solidFill>
              <a:srgbClr val="808080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'TCD'!$B$22:$B$28</f>
            </numRef>
          </val>
        </ser>
        <ser>
          <idx val="1"/>
          <order val="1"/>
          <tx>
            <strRef>
              <f>'TCD'!C21</f>
            </strRef>
          </tx>
          <spPr>
            <a:solidFill>
              <a:srgbClr val="A6A6A6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'TCD'!$C$22:$C$28</f>
            </numRef>
          </val>
        </ser>
        <ser>
          <idx val="2"/>
          <order val="2"/>
          <tx>
            <strRef>
              <f>'TCD'!D21</f>
            </strRef>
          </tx>
          <spPr>
            <a:solidFill>
              <a:srgbClr val="FF1493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'TCD'!$D$22:$D$28</f>
            </numRef>
          </val>
        </ser>
        <ser>
          <idx val="3"/>
          <order val="3"/>
          <tx>
            <strRef>
              <f>'TCD'!E21</f>
            </strRef>
          </tx>
          <spPr>
            <a:solidFill>
              <a:srgbClr val="CCCCCC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'TCD'!$E$22:$E$28</f>
            </numRef>
          </val>
        </ser>
        <ser>
          <idx val="4"/>
          <order val="4"/>
          <tx>
            <strRef>
              <f>'TCD'!F21</f>
            </strRef>
          </tx>
          <spPr>
            <a:solidFill>
              <a:srgbClr val="555555"/>
            </a:solidFill>
            <a:ln>
              <a:prstDash val="solid"/>
            </a:ln>
          </spPr>
          <dLbls>
            <numFmt formatCode="0"/>
            <dLblPos val="outEnd"/>
            <showVal val="1"/>
            <showCatName val="0"/>
            <showSerName val="0"/>
          </dLbls>
          <cat>
            <numRef>
              <f>'TCD'!$A$22:$A$28</f>
            </numRef>
          </cat>
          <val>
            <numRef>
              <f>'TCD'!$F$22:$F$28</f>
            </numRef>
          </val>
        </ser>
        <gapWidth val="150"/>
        <overlap val="-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scolaire moyenne par temps d'écran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'TCD2'!A3</f>
            </strRef>
          </tx>
          <spPr>
            <a:solidFill>
              <a:srgbClr val="040459"/>
            </a:solidFill>
            <a:ln>
              <a:prstDash val="solid"/>
            </a:ln>
          </spPr>
          <dLbls>
            <numFmt formatCode="0.00"/>
            <dLblPos val="outEnd"/>
            <showVal val="1"/>
          </dLbls>
          <cat>
            <numRef>
              <f>'TCD2'!$B$2:$E$2</f>
            </numRef>
          </cat>
          <val>
            <numRef>
              <f>'TCD2'!$B$3:$E$3</f>
            </numRef>
          </val>
        </ser>
        <ser>
          <idx val="1"/>
          <order val="1"/>
          <tx>
            <strRef>
              <f>'TCD2'!A4</f>
            </strRef>
          </tx>
          <spPr>
            <a:solidFill>
              <a:srgbClr val="7d093f"/>
            </a:solidFill>
            <a:ln>
              <a:prstDash val="solid"/>
            </a:ln>
          </spPr>
          <dLbls>
            <numFmt formatCode="0.00"/>
            <dLblPos val="outEnd"/>
            <showVal val="1"/>
          </dLbls>
          <cat>
            <numRef>
              <f>'TCD2'!$B$2:$E$2</f>
            </numRef>
          </cat>
          <val>
            <numRef>
              <f>'TCD2'!$B$4:$E$4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d'écran (Heures)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Performance scolaire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Nombre de dépressifs par Âge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'TCD2'!B11</f>
            </strRef>
          </tx>
          <spPr>
            <a:solidFill>
              <a:srgbClr val="7D093F"/>
            </a:solidFill>
            <a:ln>
              <a:prstDash val="solid"/>
            </a:ln>
          </spPr>
          <cat>
            <numRef>
              <f>'TCD2'!$A$12:$A$18</f>
            </numRef>
          </cat>
          <val>
            <numRef>
              <f>'TCD2'!$B$12:$B$18</f>
            </numRef>
          </val>
        </ser>
        <dLbls>
          <dLblPos val="outEnd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Sommeil vs Addiction par Interaction Sociale</a:t>
            </a:r>
          </a:p>
        </rich>
      </tx>
    </title>
    <plotArea>
      <scatterChart>
        <ser>
          <idx val="0"/>
          <order val="0"/>
          <tx>
            <strRef>
              <f>'TCD3'!B2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0B2AA"/>
              </a:solidFill>
              <a:ln>
                <a:solidFill>
                  <a:srgbClr val="20B2AA"/>
                </a:solidFill>
                <a:prstDash val="solid"/>
              </a:ln>
            </spPr>
          </marker>
          <xVal>
            <numRef>
              <f>'TCD3'!$A$3:$A$12</f>
            </numRef>
          </xVal>
          <yVal>
            <numRef>
              <f>'TCD3'!$B$3:$B$12</f>
            </numRef>
          </yVal>
        </ser>
        <ser>
          <idx val="1"/>
          <order val="1"/>
          <tx>
            <strRef>
              <f>'TCD3'!C2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6B7B"/>
              </a:solidFill>
              <a:ln>
                <a:solidFill>
                  <a:srgbClr val="FF6B7B"/>
                </a:solidFill>
                <a:prstDash val="solid"/>
              </a:ln>
            </spPr>
          </marker>
          <xVal>
            <numRef>
              <f>'TCD3'!$A$3:$A$12</f>
            </numRef>
          </xVal>
          <yVal>
            <numRef>
              <f>'TCD3'!$C$3:$C$12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Temps de Sommeil (heures)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Scolaire selon Stress par Genre</a:t>
            </a:r>
          </a:p>
        </rich>
      </tx>
    </title>
    <plotArea>
      <scatterChart>
        <ser>
          <idx val="0"/>
          <order val="0"/>
          <tx>
            <strRef>
              <f>'TCD3'!B16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4169E1"/>
              </a:solidFill>
              <a:ln>
                <a:solidFill>
                  <a:srgbClr val="4169E1"/>
                </a:solidFill>
                <a:prstDash val="solid"/>
              </a:ln>
            </spPr>
          </marker>
          <xVal>
            <numRef>
              <f>'TCD3'!$A$17:$A$26</f>
            </numRef>
          </xVal>
          <yVal>
            <numRef>
              <f>'TCD3'!$B$17:$B$26</f>
            </numRef>
          </yVal>
        </ser>
        <ser>
          <idx val="1"/>
          <order val="1"/>
          <tx>
            <strRef>
              <f>'TCD3'!C16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1493"/>
              </a:solidFill>
              <a:ln>
                <a:solidFill>
                  <a:srgbClr val="FF1493"/>
                </a:solidFill>
                <a:prstDash val="solid"/>
              </a:ln>
            </spPr>
          </marker>
          <xVal>
            <numRef>
              <f>'TCD3'!$A$17:$A$26</f>
            </numRef>
          </xVal>
          <yVal>
            <numRef>
              <f>'TCD3'!$C$17:$C$26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Niveau de Stress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Performance Scolaire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Anxiété selon Temps d'Écran par Interaction sociale</a:t>
            </a:r>
          </a:p>
        </rich>
      </tx>
    </title>
    <plotArea>
      <scatterChart>
        <ser>
          <idx val="0"/>
          <order val="0"/>
          <tx>
            <strRef>
              <f>'TCD3'!B31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0B2AA"/>
              </a:solidFill>
              <a:ln>
                <a:solidFill>
                  <a:srgbClr val="20B2AA"/>
                </a:solidFill>
                <a:prstDash val="solid"/>
              </a:ln>
            </spPr>
          </marker>
          <xVal>
            <numRef>
              <f>'TCD3'!$A$32:$A$38</f>
            </numRef>
          </xVal>
          <yVal>
            <numRef>
              <f>'TCD3'!$B$32:$B$38</f>
            </numRef>
          </yVal>
        </ser>
        <ser>
          <idx val="1"/>
          <order val="1"/>
          <tx>
            <strRef>
              <f>'TCD3'!C31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6B7B"/>
              </a:solidFill>
              <a:ln>
                <a:solidFill>
                  <a:srgbClr val="FF6B7B"/>
                </a:solidFill>
                <a:prstDash val="solid"/>
              </a:ln>
            </spPr>
          </marker>
          <xVal>
            <numRef>
              <f>'TCD3'!$A$32:$A$38</f>
            </numRef>
          </xVal>
          <yVal>
            <numRef>
              <f>'TCD3'!$C$32:$C$38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Temps d'Écran avant Sommeil (heures)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Niveau d'Anxiété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Performance Scolaire selon Sommeil par État Dépressif</a:t>
            </a:r>
          </a:p>
        </rich>
      </tx>
    </title>
    <plotArea>
      <scatterChart>
        <ser>
          <idx val="0"/>
          <order val="0"/>
          <tx>
            <strRef>
              <f>'TCD3'!B43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0B2AA"/>
              </a:solidFill>
              <a:ln>
                <a:solidFill>
                  <a:srgbClr val="20B2AA"/>
                </a:solidFill>
                <a:prstDash val="solid"/>
              </a:ln>
            </spPr>
          </marker>
          <xVal>
            <numRef>
              <f>'TCD3'!$A$44:$A$53</f>
            </numRef>
          </xVal>
          <yVal>
            <numRef>
              <f>'TCD3'!$B$44:$B$53</f>
            </numRef>
          </yVal>
        </ser>
        <ser>
          <idx val="1"/>
          <order val="1"/>
          <tx>
            <strRef>
              <f>'TCD3'!C43</f>
            </strRef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FF6B7B"/>
              </a:solidFill>
              <a:ln>
                <a:solidFill>
                  <a:srgbClr val="FF6B7B"/>
                </a:solidFill>
                <a:prstDash val="solid"/>
              </a:ln>
            </spPr>
          </marker>
          <xVal>
            <numRef>
              <f>'TCD3'!$A$44:$A$53</f>
            </numRef>
          </xVal>
          <yVal>
            <numRef>
              <f>'TCD3'!$C$44:$C$53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Temps de Sommeil (heures)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Performance Scolaire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540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</row>
      <rowOff>0</rowOff>
    </from>
    <ext cx="360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54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</row>
      <rowOff>0</rowOff>
    </from>
    <ext cx="25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50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23</row>
      <rowOff>0</rowOff>
    </from>
    <ext cx="50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da095d42f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da095d423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da095d7dd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da095d699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2" customWidth="1" min="3" max="3"/>
    <col width="12" customWidth="1" min="4" max="4"/>
    <col width="12" customWidth="1" min="6" max="6"/>
    <col width="12" customWidth="1" min="7" max="7"/>
    <col width="12" customWidth="1" min="9" max="9"/>
    <col width="15" customWidth="1" min="10" max="10"/>
    <col width="12" customWidth="1" min="11" max="11"/>
    <col width="15" customWidth="1" min="12" max="12"/>
    <col width="12" customWidth="1" min="13" max="13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30" customHeight="1">
      <c r="A1" s="1" t="inlineStr">
        <is>
          <t>Impact des réseaux sociaux sur la santé mentale</t>
        </is>
      </c>
      <c r="AA1" t="inlineStr">
        <is>
          <t>Tous</t>
        </is>
      </c>
      <c r="AB1" t="inlineStr">
        <is>
          <t>Tous</t>
        </is>
      </c>
      <c r="AC1" t="inlineStr">
        <is>
          <t>Tous</t>
        </is>
      </c>
      <c r="AD1" t="inlineStr">
        <is>
          <t>Tous</t>
        </is>
      </c>
    </row>
    <row r="2">
      <c r="AA2">
        <f>CALC!C2</f>
        <v/>
      </c>
      <c r="AB2">
        <f>CALC!A2</f>
        <v/>
      </c>
      <c r="AC2">
        <f>CALC!E2</f>
        <v/>
      </c>
      <c r="AD2">
        <f>CALC!G2</f>
        <v/>
      </c>
    </row>
    <row r="3" ht="25" customHeight="1">
      <c r="A3" s="2" t="inlineStr">
        <is>
          <t>Filtres :</t>
        </is>
      </c>
      <c r="C3" s="3" t="inlineStr">
        <is>
          <t>Âge</t>
        </is>
      </c>
      <c r="D3" s="4" t="inlineStr">
        <is>
          <t>Tous</t>
        </is>
      </c>
      <c r="F3" s="3" t="inlineStr">
        <is>
          <t>Genre</t>
        </is>
      </c>
      <c r="G3" s="4" t="inlineStr">
        <is>
          <t>Tous</t>
        </is>
      </c>
      <c r="I3" s="3" t="inlineStr">
        <is>
          <t>Plateforme</t>
        </is>
      </c>
      <c r="J3" s="4" t="inlineStr">
        <is>
          <t>Tous</t>
        </is>
      </c>
      <c r="L3" s="3" t="inlineStr">
        <is>
          <t>Interaction</t>
        </is>
      </c>
      <c r="M3" s="4" t="inlineStr">
        <is>
          <t>Tous</t>
        </is>
      </c>
      <c r="AA3">
        <f>CALC!C3</f>
        <v/>
      </c>
      <c r="AB3">
        <f>CALC!A3</f>
        <v/>
      </c>
      <c r="AC3">
        <f>CALC!E3</f>
        <v/>
      </c>
      <c r="AD3">
        <f>CALC!G3</f>
        <v/>
      </c>
    </row>
    <row r="4">
      <c r="AA4">
        <f>CALC!C4</f>
        <v/>
      </c>
      <c r="AC4">
        <f>CALC!E4</f>
        <v/>
      </c>
      <c r="AD4">
        <f>CALC!G4</f>
        <v/>
      </c>
    </row>
    <row r="5">
      <c r="AA5">
        <f>CALC!C5</f>
        <v/>
      </c>
    </row>
    <row r="6">
      <c r="AA6">
        <f>CALC!C6</f>
        <v/>
      </c>
    </row>
    <row r="7">
      <c r="AA7">
        <f>CALC!C7</f>
        <v/>
      </c>
    </row>
    <row r="8">
      <c r="AA8">
        <f>CALC!C8</f>
        <v/>
      </c>
    </row>
    <row r="16">
      <c r="J16" s="20" t="inlineStr">
        <is>
          <t>Réseau populaire</t>
        </is>
      </c>
      <c r="K16" s="11" t="n"/>
      <c r="L16" s="20" t="inlineStr">
        <is>
          <t>Dépressifs</t>
        </is>
      </c>
      <c r="M16" s="11" t="n"/>
    </row>
    <row r="17" ht="30" customHeight="1">
      <c r="J17" s="21">
        <f>TCD!A32</f>
        <v/>
      </c>
      <c r="K17" s="11" t="n"/>
      <c r="L17" s="21">
        <f>TCD!B34</f>
        <v/>
      </c>
      <c r="M17" s="11" t="n"/>
    </row>
    <row r="19">
      <c r="J19" s="20" t="inlineStr">
        <is>
          <t>Performance scolaire</t>
        </is>
      </c>
      <c r="K19" s="11" t="n"/>
      <c r="L19" s="20" t="inlineStr">
        <is>
          <t>Min / Max</t>
        </is>
      </c>
      <c r="M19" s="11" t="n"/>
    </row>
    <row r="20" ht="30" customHeight="1">
      <c r="J20" s="22">
        <f>TCD!D33</f>
        <v/>
      </c>
      <c r="K20" s="11" t="n"/>
      <c r="L20" s="23">
        <f>TCD!E34</f>
        <v/>
      </c>
      <c r="M20" s="23">
        <f>TCD!F34</f>
        <v/>
      </c>
    </row>
  </sheetData>
  <mergeCells count="8">
    <mergeCell ref="L17:M17"/>
    <mergeCell ref="J20:K20"/>
    <mergeCell ref="L16:M16"/>
    <mergeCell ref="J16:K16"/>
    <mergeCell ref="A1:O1"/>
    <mergeCell ref="J19:K19"/>
    <mergeCell ref="L19:M19"/>
    <mergeCell ref="J17:K17"/>
  </mergeCells>
  <dataValidations count="4">
    <dataValidation sqref="D3" showDropDown="0" showInputMessage="0" showErrorMessage="0" allowBlank="0" errorTitle="Entrée invalide" error="Sélectionnez une valeur valide" promptTitle="Filtrer" prompt="Sélectionnez un âge" type="list">
      <formula1>=$AA$1:$AA$8</formula1>
    </dataValidation>
    <dataValidation sqref="G3" showDropDown="0" showInputMessage="0" showErrorMessage="0" allowBlank="0" errorTitle="Entrée invalide" error="Sélectionnez une valeur valide" promptTitle="Filtrer" prompt="Sélectionnez un genre" type="list">
      <formula1>=$AB$1:$AB$3</formula1>
    </dataValidation>
    <dataValidation sqref="J3" showDropDown="0" showInputMessage="0" showErrorMessage="0" allowBlank="0" errorTitle="Entrée invalide" error="Sélectionnez une valeur valide" promptTitle="Filtrer" prompt="Sélectionnez un plateforme" type="list">
      <formula1>=$AC$1:$AC$4</formula1>
    </dataValidation>
    <dataValidation sqref="M3" showDropDown="0" showInputMessage="0" showErrorMessage="0" allowBlank="0" errorTitle="Entrée invalide" error="Sélectionnez une valeur valide" promptTitle="Filtrer" prompt="Sélectionnez un interaction" type="list">
      <formula1>=$AD$1:$AD$4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1"/>
  <sheetViews>
    <sheetView showGridLines="0" workbookViewId="0">
      <selection activeCell="A1" sqref="A1"/>
    </sheetView>
  </sheetViews>
  <sheetFormatPr baseColWidth="8" defaultRowHeight="15"/>
  <cols>
    <col width="12" customWidth="1" min="3" max="3"/>
    <col width="12" customWidth="1" min="4" max="4"/>
    <col width="12" customWidth="1" min="6" max="6"/>
    <col width="12" customWidth="1" min="7" max="7"/>
    <col width="12" customWidth="1" min="9" max="9"/>
    <col width="12" customWidth="1" min="10" max="10"/>
    <col width="12" customWidth="1" min="12" max="12"/>
    <col width="12" customWidth="1" min="13" max="13"/>
    <col hidden="1" width="13" customWidth="1" min="31" max="31"/>
    <col hidden="1" width="13" customWidth="1" min="32" max="32"/>
    <col hidden="1" width="13" customWidth="1" min="33" max="33"/>
    <col hidden="1" width="13" customWidth="1" min="34" max="34"/>
  </cols>
  <sheetData>
    <row r="1" ht="30" customHeight="1">
      <c r="A1" s="1" t="inlineStr">
        <is>
          <t>Impact des réseaux sociaux sur la santé mentale</t>
        </is>
      </c>
      <c r="AE1" t="inlineStr">
        <is>
          <t>Tous</t>
        </is>
      </c>
      <c r="AF1" t="inlineStr">
        <is>
          <t>Tous</t>
        </is>
      </c>
      <c r="AG1" t="inlineStr">
        <is>
          <t>Tous</t>
        </is>
      </c>
      <c r="AH1" t="inlineStr">
        <is>
          <t>Tous</t>
        </is>
      </c>
    </row>
    <row r="2">
      <c r="AE2">
        <f>CALC!C2</f>
        <v/>
      </c>
      <c r="AF2">
        <f>CALC!A2</f>
        <v/>
      </c>
      <c r="AG2">
        <f>CALC!E2</f>
        <v/>
      </c>
      <c r="AH2">
        <f>CALC!G2</f>
        <v/>
      </c>
    </row>
    <row r="3" ht="25" customHeight="1">
      <c r="A3" s="2" t="inlineStr">
        <is>
          <t>Filtres :</t>
        </is>
      </c>
      <c r="C3" s="3" t="inlineStr">
        <is>
          <t>Âge</t>
        </is>
      </c>
      <c r="D3" s="4" t="inlineStr">
        <is>
          <t>Tous</t>
        </is>
      </c>
      <c r="F3" s="3" t="inlineStr">
        <is>
          <t>Genre</t>
        </is>
      </c>
      <c r="G3" s="4" t="inlineStr">
        <is>
          <t>Tous</t>
        </is>
      </c>
      <c r="I3" s="3" t="inlineStr">
        <is>
          <t>Plateforme</t>
        </is>
      </c>
      <c r="J3" s="4" t="inlineStr">
        <is>
          <t>Tous</t>
        </is>
      </c>
      <c r="L3" s="3" t="inlineStr">
        <is>
          <t>Interaction</t>
        </is>
      </c>
      <c r="M3" s="4" t="inlineStr">
        <is>
          <t>Tous</t>
        </is>
      </c>
      <c r="AE3">
        <f>CALC!C3</f>
        <v/>
      </c>
      <c r="AF3">
        <f>CALC!A3</f>
        <v/>
      </c>
      <c r="AG3">
        <f>CALC!E3</f>
        <v/>
      </c>
      <c r="AH3">
        <f>CALC!G3</f>
        <v/>
      </c>
    </row>
    <row r="4">
      <c r="AE4">
        <f>CALC!C4</f>
        <v/>
      </c>
      <c r="AG4">
        <f>CALC!E4</f>
        <v/>
      </c>
      <c r="AH4">
        <f>CALC!G4</f>
        <v/>
      </c>
    </row>
    <row r="5">
      <c r="AE5">
        <f>CALC!C5</f>
        <v/>
      </c>
    </row>
    <row r="6" ht="20" customHeight="1">
      <c r="B6" s="24" t="inlineStr">
        <is>
          <t>Nombre de Dépressifs selon le genre</t>
        </is>
      </c>
      <c r="C6" s="10" t="n"/>
      <c r="D6" s="10" t="n"/>
      <c r="E6" s="11" t="n"/>
      <c r="AE6">
        <f>CALC!C6</f>
        <v/>
      </c>
    </row>
    <row r="7" ht="35" customHeight="1">
      <c r="B7" s="25">
        <f>TCD!B101</f>
        <v/>
      </c>
      <c r="C7" s="11" t="n"/>
      <c r="D7" s="26">
        <f>TCD!B102</f>
        <v/>
      </c>
      <c r="E7" s="11" t="n"/>
      <c r="AE7">
        <f>CALC!C7</f>
        <v/>
      </c>
    </row>
    <row r="8">
      <c r="AE8">
        <f>CALC!C8</f>
        <v/>
      </c>
    </row>
    <row r="10" ht="20" customHeight="1">
      <c r="B10" s="24" t="inlineStr">
        <is>
          <t>Niveau Addiction moyen selon le genre</t>
        </is>
      </c>
      <c r="C10" s="10" t="n"/>
      <c r="D10" s="10" t="n"/>
      <c r="E10" s="11" t="n"/>
    </row>
    <row r="11" ht="35" customHeight="1">
      <c r="B11" s="27">
        <f>TCD!B106</f>
        <v/>
      </c>
      <c r="C11" s="11" t="n"/>
      <c r="D11" s="28">
        <f>TCD!B107</f>
        <v/>
      </c>
      <c r="E11" s="11" t="n"/>
    </row>
  </sheetData>
  <mergeCells count="7">
    <mergeCell ref="D7:E7"/>
    <mergeCell ref="B7:C7"/>
    <mergeCell ref="B11:C11"/>
    <mergeCell ref="D11:E11"/>
    <mergeCell ref="B6:E6"/>
    <mergeCell ref="A1:O1"/>
    <mergeCell ref="B10:E10"/>
  </mergeCells>
  <dataValidations count="4">
    <dataValidation sqref="D3" showDropDown="0" showInputMessage="0" showErrorMessage="0" allowBlank="0" errorTitle="Entrée invalide" error="Sélectionnez une valeur valide" promptTitle="Filtrer" prompt="Sélectionnez un âge" type="list">
      <formula1>=$AE$1:$AE$8</formula1>
    </dataValidation>
    <dataValidation sqref="G3" showDropDown="0" showInputMessage="0" showErrorMessage="0" allowBlank="0" errorTitle="Entrée invalide" error="Sélectionnez une valeur valide" promptTitle="Filtrer" prompt="Sélectionnez un genre" type="list">
      <formula1>=$AF$1:$AF$3</formula1>
    </dataValidation>
    <dataValidation sqref="J3" showDropDown="0" showInputMessage="0" showErrorMessage="0" allowBlank="0" errorTitle="Entrée invalide" error="Sélectionnez une valeur valide" promptTitle="Filtrer" prompt="Sélectionnez un plateforme" type="list">
      <formula1>=$AG$1:$AG$4</formula1>
    </dataValidation>
    <dataValidation sqref="M3" showDropDown="0" showInputMessage="0" showErrorMessage="0" allowBlank="0" errorTitle="Entrée invalide" error="Sélectionnez une valeur valide" promptTitle="Filtrer" prompt="Sélectionnez un interaction" type="list">
      <formula1>=$AH$1:$AH$4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 ht="35" customHeight="1">
      <c r="A1" s="37" t="inlineStr">
        <is>
          <t>Tableau de Bord 4 : Carte des Corrélations de Santé Mentale</t>
        </is>
      </c>
    </row>
    <row r="4">
      <c r="B4" s="38" t="inlineStr">
        <is>
          <t>age</t>
        </is>
      </c>
      <c r="C4" s="38" t="inlineStr">
        <is>
          <t>sleep_hours</t>
        </is>
      </c>
      <c r="D4" s="38" t="inlineStr">
        <is>
          <t>daily_social_media_hours</t>
        </is>
      </c>
      <c r="E4" s="38" t="inlineStr">
        <is>
          <t>academic_performance</t>
        </is>
      </c>
      <c r="F4" s="38" t="inlineStr">
        <is>
          <t>physical_activity</t>
        </is>
      </c>
      <c r="G4" s="38" t="inlineStr">
        <is>
          <t>social_num</t>
        </is>
      </c>
      <c r="H4" s="38" t="inlineStr">
        <is>
          <t>stress_level</t>
        </is>
      </c>
      <c r="I4" s="38" t="inlineStr">
        <is>
          <t>anxiety_level</t>
        </is>
      </c>
      <c r="J4" s="38" t="inlineStr">
        <is>
          <t>addiction_level</t>
        </is>
      </c>
      <c r="K4" s="38" t="inlineStr">
        <is>
          <t>depression_label</t>
        </is>
      </c>
    </row>
    <row r="5" ht="20" customHeight="1">
      <c r="A5" s="39" t="inlineStr">
        <is>
          <t>age</t>
        </is>
      </c>
      <c r="B5" s="40">
        <f>Correlations!B3</f>
        <v/>
      </c>
      <c r="C5" s="40">
        <f>Correlations!C3</f>
        <v/>
      </c>
      <c r="D5" s="40">
        <f>Correlations!D3</f>
        <v/>
      </c>
      <c r="E5" s="40">
        <f>Correlations!E3</f>
        <v/>
      </c>
      <c r="F5" s="40">
        <f>Correlations!F3</f>
        <v/>
      </c>
      <c r="G5" s="40">
        <f>Correlations!G3</f>
        <v/>
      </c>
      <c r="H5" s="40">
        <f>Correlations!H3</f>
        <v/>
      </c>
      <c r="I5" s="40">
        <f>Correlations!I3</f>
        <v/>
      </c>
      <c r="J5" s="40">
        <f>Correlations!J3</f>
        <v/>
      </c>
      <c r="K5" s="40">
        <f>Correlations!K3</f>
        <v/>
      </c>
    </row>
    <row r="6" ht="20" customHeight="1">
      <c r="A6" s="39" t="inlineStr">
        <is>
          <t>sleep_hours</t>
        </is>
      </c>
      <c r="B6" s="40">
        <f>Correlations!B4</f>
        <v/>
      </c>
      <c r="C6" s="40">
        <f>Correlations!C4</f>
        <v/>
      </c>
      <c r="D6" s="40">
        <f>Correlations!D4</f>
        <v/>
      </c>
      <c r="E6" s="40">
        <f>Correlations!E4</f>
        <v/>
      </c>
      <c r="F6" s="40">
        <f>Correlations!F4</f>
        <v/>
      </c>
      <c r="G6" s="40">
        <f>Correlations!G4</f>
        <v/>
      </c>
      <c r="H6" s="40">
        <f>Correlations!H4</f>
        <v/>
      </c>
      <c r="I6" s="40">
        <f>Correlations!I4</f>
        <v/>
      </c>
      <c r="J6" s="40">
        <f>Correlations!J4</f>
        <v/>
      </c>
      <c r="K6" s="40">
        <f>Correlations!K4</f>
        <v/>
      </c>
    </row>
    <row r="7" ht="20" customHeight="1">
      <c r="A7" s="39" t="inlineStr">
        <is>
          <t>daily_social_media_hours</t>
        </is>
      </c>
      <c r="B7" s="40">
        <f>Correlations!B5</f>
        <v/>
      </c>
      <c r="C7" s="40">
        <f>Correlations!C5</f>
        <v/>
      </c>
      <c r="D7" s="40">
        <f>Correlations!D5</f>
        <v/>
      </c>
      <c r="E7" s="40">
        <f>Correlations!E5</f>
        <v/>
      </c>
      <c r="F7" s="40">
        <f>Correlations!F5</f>
        <v/>
      </c>
      <c r="G7" s="40">
        <f>Correlations!G5</f>
        <v/>
      </c>
      <c r="H7" s="40">
        <f>Correlations!H5</f>
        <v/>
      </c>
      <c r="I7" s="40">
        <f>Correlations!I5</f>
        <v/>
      </c>
      <c r="J7" s="40">
        <f>Correlations!J5</f>
        <v/>
      </c>
      <c r="K7" s="40">
        <f>Correlations!K5</f>
        <v/>
      </c>
    </row>
    <row r="8" ht="20" customHeight="1">
      <c r="A8" s="39" t="inlineStr">
        <is>
          <t>academic_performance</t>
        </is>
      </c>
      <c r="B8" s="40">
        <f>Correlations!B6</f>
        <v/>
      </c>
      <c r="C8" s="40">
        <f>Correlations!C6</f>
        <v/>
      </c>
      <c r="D8" s="40">
        <f>Correlations!D6</f>
        <v/>
      </c>
      <c r="E8" s="40">
        <f>Correlations!E6</f>
        <v/>
      </c>
      <c r="F8" s="40">
        <f>Correlations!F6</f>
        <v/>
      </c>
      <c r="G8" s="40">
        <f>Correlations!G6</f>
        <v/>
      </c>
      <c r="H8" s="40">
        <f>Correlations!H6</f>
        <v/>
      </c>
      <c r="I8" s="40">
        <f>Correlations!I6</f>
        <v/>
      </c>
      <c r="J8" s="40">
        <f>Correlations!J6</f>
        <v/>
      </c>
      <c r="K8" s="40">
        <f>Correlations!K6</f>
        <v/>
      </c>
    </row>
    <row r="9" ht="20" customHeight="1">
      <c r="A9" s="39" t="inlineStr">
        <is>
          <t>physical_activity</t>
        </is>
      </c>
      <c r="B9" s="40">
        <f>Correlations!B7</f>
        <v/>
      </c>
      <c r="C9" s="40">
        <f>Correlations!C7</f>
        <v/>
      </c>
      <c r="D9" s="40">
        <f>Correlations!D7</f>
        <v/>
      </c>
      <c r="E9" s="40">
        <f>Correlations!E7</f>
        <v/>
      </c>
      <c r="F9" s="40">
        <f>Correlations!F7</f>
        <v/>
      </c>
      <c r="G9" s="40">
        <f>Correlations!G7</f>
        <v/>
      </c>
      <c r="H9" s="40">
        <f>Correlations!H7</f>
        <v/>
      </c>
      <c r="I9" s="40">
        <f>Correlations!I7</f>
        <v/>
      </c>
      <c r="J9" s="40">
        <f>Correlations!J7</f>
        <v/>
      </c>
      <c r="K9" s="40">
        <f>Correlations!K7</f>
        <v/>
      </c>
    </row>
    <row r="10" ht="20" customHeight="1">
      <c r="A10" s="39" t="inlineStr">
        <is>
          <t>social_num</t>
        </is>
      </c>
      <c r="B10" s="40">
        <f>Correlations!B8</f>
        <v/>
      </c>
      <c r="C10" s="40">
        <f>Correlations!C8</f>
        <v/>
      </c>
      <c r="D10" s="40">
        <f>Correlations!D8</f>
        <v/>
      </c>
      <c r="E10" s="40">
        <f>Correlations!E8</f>
        <v/>
      </c>
      <c r="F10" s="40">
        <f>Correlations!F8</f>
        <v/>
      </c>
      <c r="G10" s="40">
        <f>Correlations!G8</f>
        <v/>
      </c>
      <c r="H10" s="40">
        <f>Correlations!H8</f>
        <v/>
      </c>
      <c r="I10" s="40">
        <f>Correlations!I8</f>
        <v/>
      </c>
      <c r="J10" s="40">
        <f>Correlations!J8</f>
        <v/>
      </c>
      <c r="K10" s="40">
        <f>Correlations!K8</f>
        <v/>
      </c>
    </row>
    <row r="11" ht="20" customHeight="1">
      <c r="A11" s="39" t="inlineStr">
        <is>
          <t>stress_level</t>
        </is>
      </c>
      <c r="B11" s="40">
        <f>Correlations!B9</f>
        <v/>
      </c>
      <c r="C11" s="40">
        <f>Correlations!C9</f>
        <v/>
      </c>
      <c r="D11" s="40">
        <f>Correlations!D9</f>
        <v/>
      </c>
      <c r="E11" s="40">
        <f>Correlations!E9</f>
        <v/>
      </c>
      <c r="F11" s="40">
        <f>Correlations!F9</f>
        <v/>
      </c>
      <c r="G11" s="40">
        <f>Correlations!G9</f>
        <v/>
      </c>
      <c r="H11" s="40">
        <f>Correlations!H9</f>
        <v/>
      </c>
      <c r="I11" s="40">
        <f>Correlations!I9</f>
        <v/>
      </c>
      <c r="J11" s="40">
        <f>Correlations!J9</f>
        <v/>
      </c>
      <c r="K11" s="40">
        <f>Correlations!K9</f>
        <v/>
      </c>
    </row>
    <row r="12" ht="20" customHeight="1">
      <c r="A12" s="39" t="inlineStr">
        <is>
          <t>anxiety_level</t>
        </is>
      </c>
      <c r="B12" s="40">
        <f>Correlations!B10</f>
        <v/>
      </c>
      <c r="C12" s="40">
        <f>Correlations!C10</f>
        <v/>
      </c>
      <c r="D12" s="40">
        <f>Correlations!D10</f>
        <v/>
      </c>
      <c r="E12" s="40">
        <f>Correlations!E10</f>
        <v/>
      </c>
      <c r="F12" s="40">
        <f>Correlations!F10</f>
        <v/>
      </c>
      <c r="G12" s="40">
        <f>Correlations!G10</f>
        <v/>
      </c>
      <c r="H12" s="40">
        <f>Correlations!H10</f>
        <v/>
      </c>
      <c r="I12" s="40">
        <f>Correlations!I10</f>
        <v/>
      </c>
      <c r="J12" s="40">
        <f>Correlations!J10</f>
        <v/>
      </c>
      <c r="K12" s="40">
        <f>Correlations!K10</f>
        <v/>
      </c>
    </row>
    <row r="13" ht="20" customHeight="1">
      <c r="A13" s="39" t="inlineStr">
        <is>
          <t>addiction_level</t>
        </is>
      </c>
      <c r="B13" s="40">
        <f>Correlations!B11</f>
        <v/>
      </c>
      <c r="C13" s="40">
        <f>Correlations!C11</f>
        <v/>
      </c>
      <c r="D13" s="40">
        <f>Correlations!D11</f>
        <v/>
      </c>
      <c r="E13" s="40">
        <f>Correlations!E11</f>
        <v/>
      </c>
      <c r="F13" s="40">
        <f>Correlations!F11</f>
        <v/>
      </c>
      <c r="G13" s="40">
        <f>Correlations!G11</f>
        <v/>
      </c>
      <c r="H13" s="40">
        <f>Correlations!H11</f>
        <v/>
      </c>
      <c r="I13" s="40">
        <f>Correlations!I11</f>
        <v/>
      </c>
      <c r="J13" s="40">
        <f>Correlations!J11</f>
        <v/>
      </c>
      <c r="K13" s="40">
        <f>Correlations!K11</f>
        <v/>
      </c>
    </row>
    <row r="14" ht="20" customHeight="1">
      <c r="A14" s="39" t="inlineStr">
        <is>
          <t>depression_label</t>
        </is>
      </c>
      <c r="B14" s="40">
        <f>Correlations!B12</f>
        <v/>
      </c>
      <c r="C14" s="40">
        <f>Correlations!C12</f>
        <v/>
      </c>
      <c r="D14" s="40">
        <f>Correlations!D12</f>
        <v/>
      </c>
      <c r="E14" s="40">
        <f>Correlations!E12</f>
        <v/>
      </c>
      <c r="F14" s="40">
        <f>Correlations!F12</f>
        <v/>
      </c>
      <c r="G14" s="40">
        <f>Correlations!G12</f>
        <v/>
      </c>
      <c r="H14" s="40">
        <f>Correlations!H12</f>
        <v/>
      </c>
      <c r="I14" s="40">
        <f>Correlations!I12</f>
        <v/>
      </c>
      <c r="J14" s="40">
        <f>Correlations!J12</f>
        <v/>
      </c>
      <c r="K14" s="40">
        <f>Correlations!K12</f>
        <v/>
      </c>
    </row>
  </sheetData>
  <mergeCells count="1">
    <mergeCell ref="A1:L1"/>
  </mergeCells>
  <conditionalFormatting sqref="B5:K14">
    <cfRule type="colorScale" priority="1">
      <colorScale>
        <cfvo type="num" val="-1"/>
        <cfvo type="num" val="0"/>
        <cfvo type="num" val="1"/>
        <color rgb="00FFF2F2"/>
        <color rgb="00FFFFFF"/>
        <color rgb="00E6F2FF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5" t="inlineStr">
        <is>
          <t>Dépression par Genre et Âge</t>
        </is>
      </c>
    </row>
    <row r="2">
      <c r="A2" s="3" t="inlineStr">
        <is>
          <t>Genre</t>
        </is>
      </c>
      <c r="B2" s="3">
        <f>IF(OR(TDB1!$D$3="Tous", IFERROR(INDEX(CALC!$C$2:$C$100,1),)=TDB1!$D$3), IFERROR(INDEX(CALC!$C$2:$C$100,1),""), "")</f>
        <v/>
      </c>
      <c r="C2" s="3">
        <f>IF(OR(TDB1!$D$3="Tous", IFERROR(INDEX(CALC!$C$2:$C$100,2),)=TDB1!$D$3), IFERROR(INDEX(CALC!$C$2:$C$100,2),""), "")</f>
        <v/>
      </c>
      <c r="D2" s="3">
        <f>IF(OR(TDB1!$D$3="Tous", IFERROR(INDEX(CALC!$C$2:$C$100,3),)=TDB1!$D$3), IFERROR(INDEX(CALC!$C$2:$C$100,3),""), "")</f>
        <v/>
      </c>
      <c r="E2" s="3">
        <f>IF(OR(TDB1!$D$3="Tous", IFERROR(INDEX(CALC!$C$2:$C$100,4),)=TDB1!$D$3), IFERROR(INDEX(CALC!$C$2:$C$100,4),""), "")</f>
        <v/>
      </c>
      <c r="F2" s="3">
        <f>IF(OR(TDB1!$D$3="Tous", IFERROR(INDEX(CALC!$C$2:$C$100,5),)=TDB1!$D$3), IFERROR(INDEX(CALC!$C$2:$C$100,5),""), "")</f>
        <v/>
      </c>
      <c r="G2" s="3">
        <f>IF(OR(TDB1!$D$3="Tous", IFERROR(INDEX(CALC!$C$2:$C$100,6),)=TDB1!$D$3), IFERROR(INDEX(CALC!$C$2:$C$100,6),""), "")</f>
        <v/>
      </c>
      <c r="H2" s="3">
        <f>IF(OR(TDB1!$D$3="Tous", IFERROR(INDEX(CALC!$C$2:$C$100,7),)=TDB1!$D$3), IFERROR(INDEX(CALC!$C$2:$C$100,7),""), "")</f>
        <v/>
      </c>
    </row>
    <row r="3">
      <c r="A3" s="4">
        <f>IF(OR(TDB1!$G$3="Tous", IFERROR(INDEX(CALC!$A$2:$A$100,1),)=TDB1!$G$3), IFERROR(INDEX(CALC!$A$2:$A$100,1),""), "")</f>
        <v/>
      </c>
      <c r="B3" s="6">
        <f>IF(AND(OR(TDB1!$D$3="Tous", IFERROR(INDEX(CALC!$C$2:$C$100,1),)=TDB1!$D$3), OR(TDB1!$G$3="Tous", IFERROR(INDEX(CALC!$A$2:$A$100,1),)=TDB1!$G$3)), IFERROR(COUNTIFS(DATA!$M:$M, 1, DATA!$B:$B, IF(TDB1!$G$3="Tous", IFERROR(INDEX(CALC!$A$2:$A$100,1),""), TDB1!$G$3), DATA!$A:$A, IF(TDB1!$D$3="Tous", IFERROR(INDEX(CALC!$C$2:$C$100,1),), TDB1!$D$3), DATA!$D:$D, IF(TDB1!$J$3="Tous", "&lt;&gt;", TDB1!$J$3), DATA!$I:$I, IF(TDB1!$M$3="Tous", "&lt;&gt;", TDB1!$M$3)), 0), "")</f>
        <v/>
      </c>
      <c r="C3" s="6">
        <f>IF(AND(OR(TDB1!$D$3="Tous", IFERROR(INDEX(CALC!$C$2:$C$100,2),)=TDB1!$D$3), OR(TDB1!$G$3="Tous", IFERROR(INDEX(CALC!$A$2:$A$100,1),)=TDB1!$G$3)), IFERROR(COUNTIFS(DATA!$M:$M, 1, DATA!$B:$B, IF(TDB1!$G$3="Tous", IFERROR(INDEX(CALC!$A$2:$A$100,1),""), TDB1!$G$3), DATA!$A:$A, IF(TDB1!$D$3="Tous", IFERROR(INDEX(CALC!$C$2:$C$100,2),), TDB1!$D$3), DATA!$D:$D, IF(TDB1!$J$3="Tous", "&lt;&gt;", TDB1!$J$3), DATA!$I:$I, IF(TDB1!$M$3="Tous", "&lt;&gt;", TDB1!$M$3)), 0), "")</f>
        <v/>
      </c>
      <c r="D3" s="6">
        <f>IF(AND(OR(TDB1!$D$3="Tous", IFERROR(INDEX(CALC!$C$2:$C$100,3),)=TDB1!$D$3), OR(TDB1!$G$3="Tous", IFERROR(INDEX(CALC!$A$2:$A$100,1),)=TDB1!$G$3)), IFERROR(COUNTIFS(DATA!$M:$M, 1, DATA!$B:$B, IF(TDB1!$G$3="Tous", IFERROR(INDEX(CALC!$A$2:$A$100,1),""), TDB1!$G$3), DATA!$A:$A, IF(TDB1!$D$3="Tous", IFERROR(INDEX(CALC!$C$2:$C$100,3),), TDB1!$D$3), DATA!$D:$D, IF(TDB1!$J$3="Tous", "&lt;&gt;", TDB1!$J$3), DATA!$I:$I, IF(TDB1!$M$3="Tous", "&lt;&gt;", TDB1!$M$3)), 0), "")</f>
        <v/>
      </c>
      <c r="E3" s="6">
        <f>IF(AND(OR(TDB1!$D$3="Tous", IFERROR(INDEX(CALC!$C$2:$C$100,4),)=TDB1!$D$3), OR(TDB1!$G$3="Tous", IFERROR(INDEX(CALC!$A$2:$A$100,1),)=TDB1!$G$3)), IFERROR(COUNTIFS(DATA!$M:$M, 1, DATA!$B:$B, IF(TDB1!$G$3="Tous", IFERROR(INDEX(CALC!$A$2:$A$100,1),""), TDB1!$G$3), DATA!$A:$A, IF(TDB1!$D$3="Tous", IFERROR(INDEX(CALC!$C$2:$C$100,4),), TDB1!$D$3), DATA!$D:$D, IF(TDB1!$J$3="Tous", "&lt;&gt;", TDB1!$J$3), DATA!$I:$I, IF(TDB1!$M$3="Tous", "&lt;&gt;", TDB1!$M$3)), 0), "")</f>
        <v/>
      </c>
      <c r="F3" s="6">
        <f>IF(AND(OR(TDB1!$D$3="Tous", IFERROR(INDEX(CALC!$C$2:$C$100,5),)=TDB1!$D$3), OR(TDB1!$G$3="Tous", IFERROR(INDEX(CALC!$A$2:$A$100,1),)=TDB1!$G$3)), IFERROR(COUNTIFS(DATA!$M:$M, 1, DATA!$B:$B, IF(TDB1!$G$3="Tous", IFERROR(INDEX(CALC!$A$2:$A$100,1),""), TDB1!$G$3), DATA!$A:$A, IF(TDB1!$D$3="Tous", IFERROR(INDEX(CALC!$C$2:$C$100,5),), TDB1!$D$3), DATA!$D:$D, IF(TDB1!$J$3="Tous", "&lt;&gt;", TDB1!$J$3), DATA!$I:$I, IF(TDB1!$M$3="Tous", "&lt;&gt;", TDB1!$M$3)), 0), "")</f>
        <v/>
      </c>
      <c r="G3" s="6">
        <f>IF(AND(OR(TDB1!$D$3="Tous", IFERROR(INDEX(CALC!$C$2:$C$100,6),)=TDB1!$D$3), OR(TDB1!$G$3="Tous", IFERROR(INDEX(CALC!$A$2:$A$100,1),)=TDB1!$G$3)), IFERROR(COUNTIFS(DATA!$M:$M, 1, DATA!$B:$B, IF(TDB1!$G$3="Tous", IFERROR(INDEX(CALC!$A$2:$A$100,1),""), TDB1!$G$3), DATA!$A:$A, IF(TDB1!$D$3="Tous", IFERROR(INDEX(CALC!$C$2:$C$100,6),), TDB1!$D$3), DATA!$D:$D, IF(TDB1!$J$3="Tous", "&lt;&gt;", TDB1!$J$3), DATA!$I:$I, IF(TDB1!$M$3="Tous", "&lt;&gt;", TDB1!$M$3)), 0), "")</f>
        <v/>
      </c>
      <c r="H3" s="6">
        <f>IF(AND(OR(TDB1!$D$3="Tous", IFERROR(INDEX(CALC!$C$2:$C$100,7),)=TDB1!$D$3), OR(TDB1!$G$3="Tous", IFERROR(INDEX(CALC!$A$2:$A$100,1),)=TDB1!$G$3)), IFERROR(COUNTIFS(DATA!$M:$M, 1, DATA!$B:$B, IF(TDB1!$G$3="Tous", IFERROR(INDEX(CALC!$A$2:$A$100,1),""), TDB1!$G$3), DATA!$A:$A, IF(TDB1!$D$3="Tous", IFERROR(INDEX(CALC!$C$2:$C$100,7),), TDB1!$D$3), DATA!$D:$D, IF(TDB1!$J$3="Tous", "&lt;&gt;", TDB1!$J$3), DATA!$I:$I, IF(TDB1!$M$3="Tous", "&lt;&gt;", TDB1!$M$3)), 0), "")</f>
        <v/>
      </c>
    </row>
    <row r="4">
      <c r="A4" s="4">
        <f>IF(OR(TDB1!$G$3="Tous", IFERROR(INDEX(CALC!$A$2:$A$100,2),)=TDB1!$G$3), IFERROR(INDEX(CALC!$A$2:$A$100,2),""), "")</f>
        <v/>
      </c>
      <c r="B4" s="6">
        <f>IF(AND(OR(TDB1!$D$3="Tous", IFERROR(INDEX(CALC!$C$2:$C$100,1),)=TDB1!$D$3), OR(TDB1!$G$3="Tous", IFERROR(INDEX(CALC!$A$2:$A$100,2),)=TDB1!$G$3)), IFERROR(COUNTIFS(DATA!$M:$M, 1, DATA!$B:$B, IF(TDB1!$G$3="Tous", IFERROR(INDEX(CALC!$A$2:$A$100,2),""), TDB1!$G$3), DATA!$A:$A, IF(TDB1!$D$3="Tous", IFERROR(INDEX(CALC!$C$2:$C$100,1),), TDB1!$D$3), DATA!$D:$D, IF(TDB1!$J$3="Tous", "&lt;&gt;", TDB1!$J$3), DATA!$I:$I, IF(TDB1!$M$3="Tous", "&lt;&gt;", TDB1!$M$3)), 0), "")</f>
        <v/>
      </c>
      <c r="C4" s="6">
        <f>IF(AND(OR(TDB1!$D$3="Tous", IFERROR(INDEX(CALC!$C$2:$C$100,2),)=TDB1!$D$3), OR(TDB1!$G$3="Tous", IFERROR(INDEX(CALC!$A$2:$A$100,2),)=TDB1!$G$3)), IFERROR(COUNTIFS(DATA!$M:$M, 1, DATA!$B:$B, IF(TDB1!$G$3="Tous", IFERROR(INDEX(CALC!$A$2:$A$100,2),""), TDB1!$G$3), DATA!$A:$A, IF(TDB1!$D$3="Tous", IFERROR(INDEX(CALC!$C$2:$C$100,2),), TDB1!$D$3), DATA!$D:$D, IF(TDB1!$J$3="Tous", "&lt;&gt;", TDB1!$J$3), DATA!$I:$I, IF(TDB1!$M$3="Tous", "&lt;&gt;", TDB1!$M$3)), 0), "")</f>
        <v/>
      </c>
      <c r="D4" s="6">
        <f>IF(AND(OR(TDB1!$D$3="Tous", IFERROR(INDEX(CALC!$C$2:$C$100,3),)=TDB1!$D$3), OR(TDB1!$G$3="Tous", IFERROR(INDEX(CALC!$A$2:$A$100,2),)=TDB1!$G$3)), IFERROR(COUNTIFS(DATA!$M:$M, 1, DATA!$B:$B, IF(TDB1!$G$3="Tous", IFERROR(INDEX(CALC!$A$2:$A$100,2),""), TDB1!$G$3), DATA!$A:$A, IF(TDB1!$D$3="Tous", IFERROR(INDEX(CALC!$C$2:$C$100,3),), TDB1!$D$3), DATA!$D:$D, IF(TDB1!$J$3="Tous", "&lt;&gt;", TDB1!$J$3), DATA!$I:$I, IF(TDB1!$M$3="Tous", "&lt;&gt;", TDB1!$M$3)), 0), "")</f>
        <v/>
      </c>
      <c r="E4" s="6">
        <f>IF(AND(OR(TDB1!$D$3="Tous", IFERROR(INDEX(CALC!$C$2:$C$100,4),)=TDB1!$D$3), OR(TDB1!$G$3="Tous", IFERROR(INDEX(CALC!$A$2:$A$100,2),)=TDB1!$G$3)), IFERROR(COUNTIFS(DATA!$M:$M, 1, DATA!$B:$B, IF(TDB1!$G$3="Tous", IFERROR(INDEX(CALC!$A$2:$A$100,2),""), TDB1!$G$3), DATA!$A:$A, IF(TDB1!$D$3="Tous", IFERROR(INDEX(CALC!$C$2:$C$100,4),), TDB1!$D$3), DATA!$D:$D, IF(TDB1!$J$3="Tous", "&lt;&gt;", TDB1!$J$3), DATA!$I:$I, IF(TDB1!$M$3="Tous", "&lt;&gt;", TDB1!$M$3)), 0), "")</f>
        <v/>
      </c>
      <c r="F4" s="6">
        <f>IF(AND(OR(TDB1!$D$3="Tous", IFERROR(INDEX(CALC!$C$2:$C$100,5),)=TDB1!$D$3), OR(TDB1!$G$3="Tous", IFERROR(INDEX(CALC!$A$2:$A$100,2),)=TDB1!$G$3)), IFERROR(COUNTIFS(DATA!$M:$M, 1, DATA!$B:$B, IF(TDB1!$G$3="Tous", IFERROR(INDEX(CALC!$A$2:$A$100,2),""), TDB1!$G$3), DATA!$A:$A, IF(TDB1!$D$3="Tous", IFERROR(INDEX(CALC!$C$2:$C$100,5),), TDB1!$D$3), DATA!$D:$D, IF(TDB1!$J$3="Tous", "&lt;&gt;", TDB1!$J$3), DATA!$I:$I, IF(TDB1!$M$3="Tous", "&lt;&gt;", TDB1!$M$3)), 0), "")</f>
        <v/>
      </c>
      <c r="G4" s="6">
        <f>IF(AND(OR(TDB1!$D$3="Tous", IFERROR(INDEX(CALC!$C$2:$C$100,6),)=TDB1!$D$3), OR(TDB1!$G$3="Tous", IFERROR(INDEX(CALC!$A$2:$A$100,2),)=TDB1!$G$3)), IFERROR(COUNTIFS(DATA!$M:$M, 1, DATA!$B:$B, IF(TDB1!$G$3="Tous", IFERROR(INDEX(CALC!$A$2:$A$100,2),""), TDB1!$G$3), DATA!$A:$A, IF(TDB1!$D$3="Tous", IFERROR(INDEX(CALC!$C$2:$C$100,6),), TDB1!$D$3), DATA!$D:$D, IF(TDB1!$J$3="Tous", "&lt;&gt;", TDB1!$J$3), DATA!$I:$I, IF(TDB1!$M$3="Tous", "&lt;&gt;", TDB1!$M$3)), 0), "")</f>
        <v/>
      </c>
      <c r="H4" s="6">
        <f>IF(AND(OR(TDB1!$D$3="Tous", IFERROR(INDEX(CALC!$C$2:$C$100,7),)=TDB1!$D$3), OR(TDB1!$G$3="Tous", IFERROR(INDEX(CALC!$A$2:$A$100,2),)=TDB1!$G$3)), IFERROR(COUNTIFS(DATA!$M:$M, 1, DATA!$B:$B, IF(TDB1!$G$3="Tous", IFERROR(INDEX(CALC!$A$2:$A$100,2),""), TDB1!$G$3), DATA!$A:$A, IF(TDB1!$D$3="Tous", IFERROR(INDEX(CALC!$C$2:$C$100,7),), TDB1!$D$3), DATA!$D:$D, IF(TDB1!$J$3="Tous", "&lt;&gt;", TDB1!$J$3), DATA!$I:$I, IF(TDB1!$M$3="Tous", "&lt;&gt;", TDB1!$M$3)), 0), "")</f>
        <v/>
      </c>
    </row>
    <row r="10" ht="25" customHeight="1">
      <c r="A10" s="5" t="inlineStr">
        <is>
          <t>Addiction Moyenne par Genre et Âge</t>
        </is>
      </c>
    </row>
    <row r="11">
      <c r="A11" s="3" t="inlineStr">
        <is>
          <t>Genre</t>
        </is>
      </c>
      <c r="B11" s="3">
        <f>IF(OR(TDB1!$D$3="Tous", IFERROR(INDEX(CALC!$C$2:$C$100,1),)=TDB1!$D$3), IFERROR(INDEX(CALC!$C$2:$C$100,1),""), "")</f>
        <v/>
      </c>
      <c r="C11" s="3">
        <f>IF(OR(TDB1!$D$3="Tous", IFERROR(INDEX(CALC!$C$2:$C$100,2),)=TDB1!$D$3), IFERROR(INDEX(CALC!$C$2:$C$100,2),""), "")</f>
        <v/>
      </c>
      <c r="D11" s="3">
        <f>IF(OR(TDB1!$D$3="Tous", IFERROR(INDEX(CALC!$C$2:$C$100,3),)=TDB1!$D$3), IFERROR(INDEX(CALC!$C$2:$C$100,3),""), "")</f>
        <v/>
      </c>
      <c r="E11" s="3">
        <f>IF(OR(TDB1!$D$3="Tous", IFERROR(INDEX(CALC!$C$2:$C$100,4),)=TDB1!$D$3), IFERROR(INDEX(CALC!$C$2:$C$100,4),""), "")</f>
        <v/>
      </c>
      <c r="F11" s="3">
        <f>IF(OR(TDB1!$D$3="Tous", IFERROR(INDEX(CALC!$C$2:$C$100,5),)=TDB1!$D$3), IFERROR(INDEX(CALC!$C$2:$C$100,5),""), "")</f>
        <v/>
      </c>
      <c r="G11" s="3">
        <f>IF(OR(TDB1!$D$3="Tous", IFERROR(INDEX(CALC!$C$2:$C$100,6),)=TDB1!$D$3), IFERROR(INDEX(CALC!$C$2:$C$100,6),""), "")</f>
        <v/>
      </c>
      <c r="H11" s="3">
        <f>IF(OR(TDB1!$D$3="Tous", IFERROR(INDEX(CALC!$C$2:$C$100,7),)=TDB1!$D$3), IFERROR(INDEX(CALC!$C$2:$C$100,7),""), "")</f>
        <v/>
      </c>
    </row>
    <row r="12">
      <c r="A12" s="17">
        <f>IF(OR(TDB1!$G$3="Tous", IFERROR(INDEX(CALC!$A$2:$A$100,1),)=TDB1!$G$3), IFERROR(INDEX(CALC!$A$2:$A$100,1),""), "")</f>
        <v/>
      </c>
      <c r="B12" s="6">
        <f>IF(AND(OR(TDB1!$D$3="Tous", IFERROR(INDEX(CALC!$C$2:$C$100,1),)=TDB1!$D$3), OR(TDB1!$G$3="Tous", IFERROR(INDEX(CALC!$A$2:$A$100,1),)=TDB1!$G$3)), IFERROR(AVERAGEIFS(DATA!$L:$L, DATA!$B:$B, IF(TDB1!$G$3="Tous", IFERROR(INDEX(CALC!$A$2:$A$100,1),""), TDB1!$G$3), DATA!$A:$A, IF(TDB1!$D$3="Tous", IFERROR(INDEX(CALC!$C$2:$C$100,1),), TDB1!$D$3), DATA!$D:$D, IF(TDB1!$J$3="Tous", "&lt;&gt;", TDB1!$J$3), DATA!$I:$I, IF(TDB1!$M$3="Tous", "&lt;&gt;", TDB1!$M$3)), 0), "")</f>
        <v/>
      </c>
      <c r="C12" s="6">
        <f>IF(AND(OR(TDB1!$D$3="Tous", IFERROR(INDEX(CALC!$C$2:$C$100,2),)=TDB1!$D$3), OR(TDB1!$G$3="Tous", IFERROR(INDEX(CALC!$A$2:$A$100,1),)=TDB1!$G$3)), IFERROR(AVERAGEIFS(DATA!$L:$L, DATA!$B:$B, IF(TDB1!$G$3="Tous", IFERROR(INDEX(CALC!$A$2:$A$100,1),""), TDB1!$G$3), DATA!$A:$A, IF(TDB1!$D$3="Tous", IFERROR(INDEX(CALC!$C$2:$C$100,2),), TDB1!$D$3), DATA!$D:$D, IF(TDB1!$J$3="Tous", "&lt;&gt;", TDB1!$J$3), DATA!$I:$I, IF(TDB1!$M$3="Tous", "&lt;&gt;", TDB1!$M$3)), 0), "")</f>
        <v/>
      </c>
      <c r="D12" s="6">
        <f>IF(AND(OR(TDB1!$D$3="Tous", IFERROR(INDEX(CALC!$C$2:$C$100,3),)=TDB1!$D$3), OR(TDB1!$G$3="Tous", IFERROR(INDEX(CALC!$A$2:$A$100,1),)=TDB1!$G$3)), IFERROR(AVERAGEIFS(DATA!$L:$L, DATA!$B:$B, IF(TDB1!$G$3="Tous", IFERROR(INDEX(CALC!$A$2:$A$100,1),""), TDB1!$G$3), DATA!$A:$A, IF(TDB1!$D$3="Tous", IFERROR(INDEX(CALC!$C$2:$C$100,3),), TDB1!$D$3), DATA!$D:$D, IF(TDB1!$J$3="Tous", "&lt;&gt;", TDB1!$J$3), DATA!$I:$I, IF(TDB1!$M$3="Tous", "&lt;&gt;", TDB1!$M$3)), 0), "")</f>
        <v/>
      </c>
      <c r="E12" s="6">
        <f>IF(AND(OR(TDB1!$D$3="Tous", IFERROR(INDEX(CALC!$C$2:$C$100,4),)=TDB1!$D$3), OR(TDB1!$G$3="Tous", IFERROR(INDEX(CALC!$A$2:$A$100,1),)=TDB1!$G$3)), IFERROR(AVERAGEIFS(DATA!$L:$L, DATA!$B:$B, IF(TDB1!$G$3="Tous", IFERROR(INDEX(CALC!$A$2:$A$100,1),""), TDB1!$G$3), DATA!$A:$A, IF(TDB1!$D$3="Tous", IFERROR(INDEX(CALC!$C$2:$C$100,4),), TDB1!$D$3), DATA!$D:$D, IF(TDB1!$J$3="Tous", "&lt;&gt;", TDB1!$J$3), DATA!$I:$I, IF(TDB1!$M$3="Tous", "&lt;&gt;", TDB1!$M$3)), 0), "")</f>
        <v/>
      </c>
      <c r="F12" s="6">
        <f>IF(AND(OR(TDB1!$D$3="Tous", IFERROR(INDEX(CALC!$C$2:$C$100,5),)=TDB1!$D$3), OR(TDB1!$G$3="Tous", IFERROR(INDEX(CALC!$A$2:$A$100,1),)=TDB1!$G$3)), IFERROR(AVERAGEIFS(DATA!$L:$L, DATA!$B:$B, IF(TDB1!$G$3="Tous", IFERROR(INDEX(CALC!$A$2:$A$100,1),""), TDB1!$G$3), DATA!$A:$A, IF(TDB1!$D$3="Tous", IFERROR(INDEX(CALC!$C$2:$C$100,5),), TDB1!$D$3), DATA!$D:$D, IF(TDB1!$J$3="Tous", "&lt;&gt;", TDB1!$J$3), DATA!$I:$I, IF(TDB1!$M$3="Tous", "&lt;&gt;", TDB1!$M$3)), 0), "")</f>
        <v/>
      </c>
      <c r="G12" s="6">
        <f>IF(AND(OR(TDB1!$D$3="Tous", IFERROR(INDEX(CALC!$C$2:$C$100,6),)=TDB1!$D$3), OR(TDB1!$G$3="Tous", IFERROR(INDEX(CALC!$A$2:$A$100,1),)=TDB1!$G$3)), IFERROR(AVERAGEIFS(DATA!$L:$L, DATA!$B:$B, IF(TDB1!$G$3="Tous", IFERROR(INDEX(CALC!$A$2:$A$100,1),""), TDB1!$G$3), DATA!$A:$A, IF(TDB1!$D$3="Tous", IFERROR(INDEX(CALC!$C$2:$C$100,6),), TDB1!$D$3), DATA!$D:$D, IF(TDB1!$J$3="Tous", "&lt;&gt;", TDB1!$J$3), DATA!$I:$I, IF(TDB1!$M$3="Tous", "&lt;&gt;", TDB1!$M$3)), 0), "")</f>
        <v/>
      </c>
      <c r="H12" s="6">
        <f>IF(AND(OR(TDB1!$D$3="Tous", IFERROR(INDEX(CALC!$C$2:$C$100,7),)=TDB1!$D$3), OR(TDB1!$G$3="Tous", IFERROR(INDEX(CALC!$A$2:$A$100,1),)=TDB1!$G$3)), IFERROR(AVERAGEIFS(DATA!$L:$L, DATA!$B:$B, IF(TDB1!$G$3="Tous", IFERROR(INDEX(CALC!$A$2:$A$100,1),""), TDB1!$G$3), DATA!$A:$A, IF(TDB1!$D$3="Tous", IFERROR(INDEX(CALC!$C$2:$C$100,7),), TDB1!$D$3), DATA!$D:$D, IF(TDB1!$J$3="Tous", "&lt;&gt;", TDB1!$J$3), DATA!$I:$I, IF(TDB1!$M$3="Tous", "&lt;&gt;", TDB1!$M$3)), 0), "")</f>
        <v/>
      </c>
    </row>
    <row r="13">
      <c r="A13" s="17">
        <f>IF(OR(TDB1!$G$3="Tous", IFERROR(INDEX(CALC!$A$2:$A$100,2),)=TDB1!$G$3), IFERROR(INDEX(CALC!$A$2:$A$100,2),""), "")</f>
        <v/>
      </c>
      <c r="B13" s="6">
        <f>IF(AND(OR(TDB1!$D$3="Tous", IFERROR(INDEX(CALC!$C$2:$C$100,1),)=TDB1!$D$3), OR(TDB1!$G$3="Tous", IFERROR(INDEX(CALC!$A$2:$A$100,2),)=TDB1!$G$3)), IFERROR(AVERAGEIFS(DATA!$L:$L, DATA!$B:$B, IF(TDB1!$G$3="Tous", IFERROR(INDEX(CALC!$A$2:$A$100,2),""), TDB1!$G$3), DATA!$A:$A, IF(TDB1!$D$3="Tous", IFERROR(INDEX(CALC!$C$2:$C$100,1),), TDB1!$D$3), DATA!$D:$D, IF(TDB1!$J$3="Tous", "&lt;&gt;", TDB1!$J$3), DATA!$I:$I, IF(TDB1!$M$3="Tous", "&lt;&gt;", TDB1!$M$3)), 0), "")</f>
        <v/>
      </c>
      <c r="C13" s="6">
        <f>IF(AND(OR(TDB1!$D$3="Tous", IFERROR(INDEX(CALC!$C$2:$C$100,2),)=TDB1!$D$3), OR(TDB1!$G$3="Tous", IFERROR(INDEX(CALC!$A$2:$A$100,2),)=TDB1!$G$3)), IFERROR(AVERAGEIFS(DATA!$L:$L, DATA!$B:$B, IF(TDB1!$G$3="Tous", IFERROR(INDEX(CALC!$A$2:$A$100,2),""), TDB1!$G$3), DATA!$A:$A, IF(TDB1!$D$3="Tous", IFERROR(INDEX(CALC!$C$2:$C$100,2),), TDB1!$D$3), DATA!$D:$D, IF(TDB1!$J$3="Tous", "&lt;&gt;", TDB1!$J$3), DATA!$I:$I, IF(TDB1!$M$3="Tous", "&lt;&gt;", TDB1!$M$3)), 0), "")</f>
        <v/>
      </c>
      <c r="D13" s="6">
        <f>IF(AND(OR(TDB1!$D$3="Tous", IFERROR(INDEX(CALC!$C$2:$C$100,3),)=TDB1!$D$3), OR(TDB1!$G$3="Tous", IFERROR(INDEX(CALC!$A$2:$A$100,2),)=TDB1!$G$3)), IFERROR(AVERAGEIFS(DATA!$L:$L, DATA!$B:$B, IF(TDB1!$G$3="Tous", IFERROR(INDEX(CALC!$A$2:$A$100,2),""), TDB1!$G$3), DATA!$A:$A, IF(TDB1!$D$3="Tous", IFERROR(INDEX(CALC!$C$2:$C$100,3),), TDB1!$D$3), DATA!$D:$D, IF(TDB1!$J$3="Tous", "&lt;&gt;", TDB1!$J$3), DATA!$I:$I, IF(TDB1!$M$3="Tous", "&lt;&gt;", TDB1!$M$3)), 0), "")</f>
        <v/>
      </c>
      <c r="E13" s="6">
        <f>IF(AND(OR(TDB1!$D$3="Tous", IFERROR(INDEX(CALC!$C$2:$C$100,4),)=TDB1!$D$3), OR(TDB1!$G$3="Tous", IFERROR(INDEX(CALC!$A$2:$A$100,2),)=TDB1!$G$3)), IFERROR(AVERAGEIFS(DATA!$L:$L, DATA!$B:$B, IF(TDB1!$G$3="Tous", IFERROR(INDEX(CALC!$A$2:$A$100,2),""), TDB1!$G$3), DATA!$A:$A, IF(TDB1!$D$3="Tous", IFERROR(INDEX(CALC!$C$2:$C$100,4),), TDB1!$D$3), DATA!$D:$D, IF(TDB1!$J$3="Tous", "&lt;&gt;", TDB1!$J$3), DATA!$I:$I, IF(TDB1!$M$3="Tous", "&lt;&gt;", TDB1!$M$3)), 0), "")</f>
        <v/>
      </c>
      <c r="F13" s="6">
        <f>IF(AND(OR(TDB1!$D$3="Tous", IFERROR(INDEX(CALC!$C$2:$C$100,5),)=TDB1!$D$3), OR(TDB1!$G$3="Tous", IFERROR(INDEX(CALC!$A$2:$A$100,2),)=TDB1!$G$3)), IFERROR(AVERAGEIFS(DATA!$L:$L, DATA!$B:$B, IF(TDB1!$G$3="Tous", IFERROR(INDEX(CALC!$A$2:$A$100,2),""), TDB1!$G$3), DATA!$A:$A, IF(TDB1!$D$3="Tous", IFERROR(INDEX(CALC!$C$2:$C$100,5),), TDB1!$D$3), DATA!$D:$D, IF(TDB1!$J$3="Tous", "&lt;&gt;", TDB1!$J$3), DATA!$I:$I, IF(TDB1!$M$3="Tous", "&lt;&gt;", TDB1!$M$3)), 0), "")</f>
        <v/>
      </c>
      <c r="G13" s="6">
        <f>IF(AND(OR(TDB1!$D$3="Tous", IFERROR(INDEX(CALC!$C$2:$C$100,6),)=TDB1!$D$3), OR(TDB1!$G$3="Tous", IFERROR(INDEX(CALC!$A$2:$A$100,2),)=TDB1!$G$3)), IFERROR(AVERAGEIFS(DATA!$L:$L, DATA!$B:$B, IF(TDB1!$G$3="Tous", IFERROR(INDEX(CALC!$A$2:$A$100,2),""), TDB1!$G$3), DATA!$A:$A, IF(TDB1!$D$3="Tous", IFERROR(INDEX(CALC!$C$2:$C$100,6),), TDB1!$D$3), DATA!$D:$D, IF(TDB1!$J$3="Tous", "&lt;&gt;", TDB1!$J$3), DATA!$I:$I, IF(TDB1!$M$3="Tous", "&lt;&gt;", TDB1!$M$3)), 0), "")</f>
        <v/>
      </c>
      <c r="H13" s="6">
        <f>IF(AND(OR(TDB1!$D$3="Tous", IFERROR(INDEX(CALC!$C$2:$C$100,7),)=TDB1!$D$3), OR(TDB1!$G$3="Tous", IFERROR(INDEX(CALC!$A$2:$A$100,2),)=TDB1!$G$3)), IFERROR(AVERAGEIFS(DATA!$L:$L, DATA!$B:$B, IF(TDB1!$G$3="Tous", IFERROR(INDEX(CALC!$A$2:$A$100,2),""), TDB1!$G$3), DATA!$A:$A, IF(TDB1!$D$3="Tous", IFERROR(INDEX(CALC!$C$2:$C$100,7),), TDB1!$D$3), DATA!$D:$D, IF(TDB1!$J$3="Tous", "&lt;&gt;", TDB1!$J$3), DATA!$I:$I, IF(TDB1!$M$3="Tous", "&lt;&gt;", TDB1!$M$3)), 0), "")</f>
        <v/>
      </c>
    </row>
    <row r="20" ht="25" customHeight="1">
      <c r="A20" s="5" t="inlineStr">
        <is>
          <t>Statistiques Addiction par Âge (pour Boxplot)</t>
        </is>
      </c>
    </row>
    <row r="21">
      <c r="A21" s="3" t="inlineStr">
        <is>
          <t>Âge</t>
        </is>
      </c>
      <c r="B21" s="3" t="inlineStr">
        <is>
          <t>Min</t>
        </is>
      </c>
      <c r="C21" s="3" t="inlineStr">
        <is>
          <t>Q1</t>
        </is>
      </c>
      <c r="D21" s="3" t="inlineStr">
        <is>
          <t>Médiane</t>
        </is>
      </c>
      <c r="E21" s="3" t="inlineStr">
        <is>
          <t>Q3</t>
        </is>
      </c>
      <c r="F21" s="3" t="inlineStr">
        <is>
          <t>Max</t>
        </is>
      </c>
      <c r="G21" s="3" t="inlineStr">
        <is>
          <t>Moyenne</t>
        </is>
      </c>
      <c r="H21" s="3" t="inlineStr">
        <is>
          <t>Écart-type</t>
        </is>
      </c>
    </row>
    <row r="22">
      <c r="A22" s="4">
        <f>IFERROR(INDEX(CALC!$C$2:$C$1000,1),"")</f>
        <v/>
      </c>
      <c r="B22" s="7">
        <f t="array" ref="B22">MIN(IF((DATA!$A$2:$A$1201=$A22)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2" s="7">
        <f t="array" ref="C22">QUARTILE(IF((DATA!$A$2:$A$1201=$A22)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2" s="7">
        <f t="array" ref="D22">MEDIAN(IF((DATA!$A$2:$A$1201=$A22)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2" s="7">
        <f t="array" ref="E22">QUARTILE(IF((DATA!$A$2:$A$1201=$A22)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2" s="7">
        <f t="array" ref="F22">MAX(IF((DATA!$A$2:$A$1201=$A22)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2" s="7">
        <f>IFERROR(AVERAGEIFS(DATA!$L$2:$L$1201, DATA!$A$2:$A$1201, $A22,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2" s="7">
        <f t="array" ref="H22">STDEV(IF((DATA!$A$2:$A$1201=$A22)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3">
      <c r="A23" s="4">
        <f>IFERROR(INDEX(CALC!$C$2:$C$1000,2),"")</f>
        <v/>
      </c>
      <c r="B23" s="7">
        <f t="array" ref="B23">MIN(IF((DATA!$A$2:$A$1201=$A23)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3" s="7">
        <f t="array" ref="C23">QUARTILE(IF((DATA!$A$2:$A$1201=$A23)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3" s="7">
        <f t="array" ref="D23">MEDIAN(IF((DATA!$A$2:$A$1201=$A23)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3" s="7">
        <f t="array" ref="E23">QUARTILE(IF((DATA!$A$2:$A$1201=$A23)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3" s="7">
        <f t="array" ref="F23">MAX(IF((DATA!$A$2:$A$1201=$A23)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3" s="7">
        <f>IFERROR(AVERAGEIFS(DATA!$L$2:$L$1201, DATA!$A$2:$A$1201, $A23,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3" s="7">
        <f t="array" ref="H23">STDEV(IF((DATA!$A$2:$A$1201=$A23)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4">
      <c r="A24" s="4">
        <f>IFERROR(INDEX(CALC!$C$2:$C$1000,3),"")</f>
        <v/>
      </c>
      <c r="B24" s="7">
        <f t="array" ref="B24">MIN(IF((DATA!$A$2:$A$1201=$A24)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4" s="7">
        <f t="array" ref="C24">QUARTILE(IF((DATA!$A$2:$A$1201=$A24)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4" s="7">
        <f t="array" ref="D24">MEDIAN(IF((DATA!$A$2:$A$1201=$A24)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4" s="7">
        <f t="array" ref="E24">QUARTILE(IF((DATA!$A$2:$A$1201=$A24)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4" s="7">
        <f t="array" ref="F24">MAX(IF((DATA!$A$2:$A$1201=$A24)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4" s="7">
        <f>IFERROR(AVERAGEIFS(DATA!$L$2:$L$1201, DATA!$A$2:$A$1201, $A24,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4" s="7">
        <f t="array" ref="H24">STDEV(IF((DATA!$A$2:$A$1201=$A24)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5">
      <c r="A25" s="4">
        <f>IFERROR(INDEX(CALC!$C$2:$C$1000,4),"")</f>
        <v/>
      </c>
      <c r="B25" s="7">
        <f t="array" ref="B25">MIN(IF((DATA!$A$2:$A$1201=$A25)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5" s="7">
        <f t="array" ref="C25">QUARTILE(IF((DATA!$A$2:$A$1201=$A25)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5" s="7">
        <f t="array" ref="D25">MEDIAN(IF((DATA!$A$2:$A$1201=$A25)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5" s="7">
        <f t="array" ref="E25">QUARTILE(IF((DATA!$A$2:$A$1201=$A25)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5" s="7">
        <f t="array" ref="F25">MAX(IF((DATA!$A$2:$A$1201=$A25)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5" s="7">
        <f>IFERROR(AVERAGEIFS(DATA!$L$2:$L$1201, DATA!$A$2:$A$1201, $A25,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5" s="7">
        <f t="array" ref="H25">STDEV(IF((DATA!$A$2:$A$1201=$A25)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6">
      <c r="A26" s="4">
        <f>IFERROR(INDEX(CALC!$C$2:$C$1000,5),"")</f>
        <v/>
      </c>
      <c r="B26" s="7">
        <f t="array" ref="B26">MIN(IF((DATA!$A$2:$A$1201=$A26)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6" s="7">
        <f t="array" ref="C26">QUARTILE(IF((DATA!$A$2:$A$1201=$A26)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6" s="7">
        <f t="array" ref="D26">MEDIAN(IF((DATA!$A$2:$A$1201=$A26)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6" s="7">
        <f t="array" ref="E26">QUARTILE(IF((DATA!$A$2:$A$1201=$A26)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6" s="7">
        <f t="array" ref="F26">MAX(IF((DATA!$A$2:$A$1201=$A26)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6" s="7">
        <f>IFERROR(AVERAGEIFS(DATA!$L$2:$L$1201, DATA!$A$2:$A$1201, $A26,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6" s="7">
        <f t="array" ref="H26">STDEV(IF((DATA!$A$2:$A$1201=$A26)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7">
      <c r="A27" s="4">
        <f>IFERROR(INDEX(CALC!$C$2:$C$1000,6),"")</f>
        <v/>
      </c>
      <c r="B27" s="7">
        <f t="array" ref="B27">MIN(IF((DATA!$A$2:$A$1201=$A27)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7" s="7">
        <f t="array" ref="C27">QUARTILE(IF((DATA!$A$2:$A$1201=$A27)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7" s="7">
        <f t="array" ref="D27">MEDIAN(IF((DATA!$A$2:$A$1201=$A27)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7" s="7">
        <f t="array" ref="E27">QUARTILE(IF((DATA!$A$2:$A$1201=$A27)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7" s="7">
        <f t="array" ref="F27">MAX(IF((DATA!$A$2:$A$1201=$A27)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7" s="7">
        <f>IFERROR(AVERAGEIFS(DATA!$L$2:$L$1201, DATA!$A$2:$A$1201, $A27,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7" s="7">
        <f t="array" ref="H27">STDEV(IF((DATA!$A$2:$A$1201=$A27)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28">
      <c r="A28" s="4">
        <f>IFERROR(INDEX(CALC!$C$2:$C$1000,7),"")</f>
        <v/>
      </c>
      <c r="B28" s="7">
        <f t="array" ref="B28">MIN(IF((DATA!$A$2:$A$1201=$A28)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C28" s="7">
        <f t="array" ref="C28">QUARTILE(IF((DATA!$A$2:$A$1201=$A28) * IF(TDB1!$G$3="Tous", 1, DATA!$B$2:$B$1201=TDB1!$G$3) * IF(TDB1!$D$3="Tous", 1, DATA!$A$2:$A$1201=TDB1!$D$3) * IF(TDB1!$J$3="Tous", 1, DATA!$D$2:$D$1201=TDB1!$J$3) * IF(TDB1!$M$3="Tous", 1, DATA!$I$2:$I$1201=TDB1!$M$3), DATA!$L$2:$L$1201), 1)</f>
        <v/>
      </c>
      <c r="D28" s="7">
        <f t="array" ref="D28">MEDIAN(IF((DATA!$A$2:$A$1201=$A28)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E28" s="7">
        <f t="array" ref="E28">QUARTILE(IF((DATA!$A$2:$A$1201=$A28) * IF(TDB1!$G$3="Tous", 1, DATA!$B$2:$B$1201=TDB1!$G$3) * IF(TDB1!$D$3="Tous", 1, DATA!$A$2:$A$1201=TDB1!$D$3) * IF(TDB1!$J$3="Tous", 1, DATA!$D$2:$D$1201=TDB1!$J$3) * IF(TDB1!$M$3="Tous", 1, DATA!$I$2:$I$1201=TDB1!$M$3), DATA!$L$2:$L$1201), 3)</f>
        <v/>
      </c>
      <c r="F28" s="7">
        <f t="array" ref="F28">MAX(IF((DATA!$A$2:$A$1201=$A28)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  <c r="G28" s="7">
        <f>IFERROR(AVERAGEIFS(DATA!$L$2:$L$1201, DATA!$A$2:$A$1201, $A28,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H28" s="7">
        <f t="array" ref="H28">STDEV(IF((DATA!$A$2:$A$1201=$A28) * IF(TDB1!$G$3="Tous", 1, DATA!$B$2:$B$1201=TDB1!$G$3) * IF(TDB1!$D$3="Tous", 1, DATA!$A$2:$A$1201=TDB1!$D$3) * IF(TDB1!$J$3="Tous", 1, DATA!$D$2:$D$1201=TDB1!$J$3) * IF(TDB1!$M$3="Tous", 1, DATA!$I$2:$I$1201=TDB1!$M$3), DATA!$L$2:$L$1201))</f>
        <v/>
      </c>
    </row>
    <row r="30" ht="25" customHeight="1">
      <c r="A30" s="8" t="inlineStr">
        <is>
          <t>Indicateurs Clés (KPI) - Personnes Dépressives</t>
        </is>
      </c>
    </row>
    <row r="32" ht="20" customHeight="1">
      <c r="A32" s="9" t="inlineStr">
        <is>
          <t>Réseau le plus utilisé</t>
        </is>
      </c>
      <c r="B32" s="10" t="n"/>
      <c r="C32" s="11" t="n"/>
      <c r="D32" s="9" t="inlineStr">
        <is>
          <t>Performance scolaire moyenne</t>
        </is>
      </c>
      <c r="E32" s="10" t="n"/>
      <c r="F32" s="11" t="n"/>
    </row>
    <row r="33" ht="35" customHeight="1">
      <c r="A33" s="12">
        <f t="array" ref="A33">INDEX(DATA!$D$2:$D$1201, MATCH(MAX(COUNTIFS(DATA!$D$2:$D$1201, DATA!$D$2:$D$1201,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TDB1!$M$3))), COUNTIFS(DATA!$D$2:$D$1201, DATA!$D$2:$D$1201,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0))</f>
        <v/>
      </c>
      <c r="B33" s="10" t="n"/>
      <c r="C33" s="11" t="n"/>
      <c r="D33" s="13">
        <f>IFERROR(AVERAGEIFS(DATA!$G$2:$G$1201, DATA!$M$2:$M$1201, 1, DATA!$B$2:$B$1201, IF(TDB1!$G$3="Tous", "&lt;&gt;", TDB1!$G$3), DATA!$A$2:$A$1201, IF(TDB1!$D$3="Tous", "&lt;&gt;", TDB1!$D$3), DATA!$D$2:$D$1201, IF(TDB1!$J$3="Tous", "&lt;&gt;", TDB1!$J$3), DATA!$I$2:$I$1201, IF(TDB1!$M$3="Tous", "&lt;&gt;", TDB1!$M$3)), NA())</f>
        <v/>
      </c>
      <c r="E33" s="10" t="n"/>
      <c r="F33" s="11" t="n"/>
    </row>
    <row r="34">
      <c r="A34" s="14" t="inlineStr">
        <is>
          <t>Nombre de dépressifs</t>
        </is>
      </c>
      <c r="B34" s="15">
        <f>IFERROR(COUNTIFS(DATA!$M$2:$M$1201, 1, DATA!$B$2:$B$1201, IF(TDB1!$G$3="Tous", "&lt;&gt;", TDB1!$G$3), DATA!$A$2:$A$1201, IF(TDB1!$D$3="Tous", "&lt;&gt;", TDB1!$D$3), DATA!$D$2:$D$1201, IF(TDB1!$J$3="Tous", "&lt;&gt;", TDB1!$J$3), DATA!$I$2:$I$1201, IF(TDB1!$M$3="Tous", "&lt;&gt;", TDB1!$M$3)), 0)</f>
        <v/>
      </c>
      <c r="D34" s="14" t="inlineStr">
        <is>
          <t>Min / Max</t>
        </is>
      </c>
      <c r="E34" s="16">
        <f t="array" ref="E34">MIN(IF((DATA!$M$2:$M$1201=1) * IF(TDB1!$G$3="Tous", 1, DATA!$B$2:$B$1201=TDB1!$G$3) * IF(TDB1!$D$3="Tous", 1, DATA!$A$2:$A$1201=TDB1!$D$3) * IF(TDB1!$J$3="Tous", 1, DATA!$D$2:$D$1201=TDB1!$J$3) * IF(TDB1!$M$3="Tous", 1, DATA!$I$2:$I$1201=TDB1!$M$3), DATA!$G$2:$G$1201))</f>
        <v/>
      </c>
      <c r="F34" s="16">
        <f t="array" ref="F34">MAX(IF((DATA!$M$2:$M$1201=1) * IF(TDB1!$G$3="Tous", 1, DATA!$B$2:$B$1201=TDB1!$G$3) * IF(TDB1!$D$3="Tous", 1, DATA!$A$2:$A$1201=TDB1!$D$3) * IF(TDB1!$J$3="Tous", 1, DATA!$D$2:$D$1201=TDB1!$J$3) * IF(TDB1!$M$3="Tous", 1, DATA!$I$2:$I$1201=TDB1!$M$3), DATA!$G$2:$G$1201))</f>
        <v/>
      </c>
    </row>
    <row r="100">
      <c r="A100" s="29" t="inlineStr">
        <is>
          <t>Genre</t>
        </is>
      </c>
      <c r="B100" s="29" t="inlineStr">
        <is>
          <t>Dépressifs</t>
        </is>
      </c>
    </row>
    <row r="101">
      <c r="A101" t="inlineStr">
        <is>
          <t>Male</t>
        </is>
      </c>
      <c r="B101" s="19">
        <f>IF(OR(TDB2!$G$3="Tous", TDB2!$G$3="Male"), IFERROR(COUNTIFS(DATA!$M$2:$M$1201, 1, DATA!$B$2:$B$1201, "male", DATA!$D$2:$D$1201, IF(TDB2!$J$3="Tous", "&lt;&gt;", TDB2!$J$3), DATA!$I$2:$I$1201, IF(TDB2!$M$3="Tous", "&lt;&gt;", TDB2!$M$3), DATA!$A$2:$A$1201, IF(TDB2!$D$3="Tous", "&lt;&gt;", TDB2!$D$3)), 0), 0)</f>
        <v/>
      </c>
    </row>
    <row r="102">
      <c r="A102" t="inlineStr">
        <is>
          <t>Female</t>
        </is>
      </c>
      <c r="B102" s="19">
        <f>IF(OR(TDB2!$G$3="Tous", TDB2!$G$3="Female"), IFERROR(COUNTIFS(DATA!$M$2:$M$1201, 1, DATA!$B$2:$B$1201, "female", DATA!$D$2:$D$1201, IF(TDB2!$J$3="Tous", "&lt;&gt;", TDB2!$J$3), DATA!$I$2:$I$1201, IF(TDB2!$M$3="Tous", "&lt;&gt;", TDB2!$M$3), DATA!$A$2:$A$1201, IF(TDB2!$D$3="Tous", "&lt;&gt;", TDB2!$D$3)), 0), 0)</f>
        <v/>
      </c>
    </row>
    <row r="105">
      <c r="A105" s="29" t="inlineStr">
        <is>
          <t>Genre</t>
        </is>
      </c>
      <c r="B105" s="29" t="inlineStr">
        <is>
          <t>Addiction Moyenne</t>
        </is>
      </c>
    </row>
    <row r="106">
      <c r="A106" t="inlineStr">
        <is>
          <t>Male</t>
        </is>
      </c>
      <c r="B106" s="30">
        <f>IF(OR(TDB2!$G$3="Tous", TDB2!$G$3="Male"), IFERROR(AVERAGEIFS(DATA!$L$2:$L$1201, DATA!$B$2:$B$1201, "male", DATA!$D$2:$D$1201, IF(TDB2!$J$3="Tous", "&lt;&gt;", TDB2!$J$3), DATA!$I$2:$I$1201, IF(TDB2!$M$3="Tous", "&lt;&gt;", TDB2!$M$3), DATA!$A$2:$A$1201, IF(TDB2!$D$3="Tous", "&lt;&gt;", TDB2!$D$3)), 0), 0)</f>
        <v/>
      </c>
    </row>
    <row r="107">
      <c r="A107" t="inlineStr">
        <is>
          <t>Female</t>
        </is>
      </c>
      <c r="B107" s="30">
        <f>IF(OR(TDB2!$G$3="Tous", TDB2!$G$3="Female"), IFERROR(AVERAGEIFS(DATA!$L$2:$L$1201, DATA!$B$2:$B$1201, "female", DATA!$D$2:$D$1201, IF(TDB2!$J$3="Tous", "&lt;&gt;", TDB2!$J$3), DATA!$I$2:$I$1201, IF(TDB2!$M$3="Tous", "&lt;&gt;", TDB2!$M$3), DATA!$A$2:$A$1201, IF(TDB2!$D$3="Tous", "&lt;&gt;", TDB2!$D$3)), 0), 0)</f>
        <v/>
      </c>
    </row>
    <row r="120">
      <c r="A120" s="18" t="inlineStr">
        <is>
          <t>Total Dépression Genre</t>
        </is>
      </c>
    </row>
    <row r="121">
      <c r="A121" t="inlineStr">
        <is>
          <t>Genre</t>
        </is>
      </c>
      <c r="B121" t="inlineStr">
        <is>
          <t>Total</t>
        </is>
      </c>
    </row>
    <row r="122">
      <c r="A122" t="inlineStr">
        <is>
          <t>Male</t>
        </is>
      </c>
      <c r="B122" s="19">
        <f>IF(OR(TDB1!$G$3="Tous", TDB1!$G$3="Male"), IFERROR(COUNTIFS(DATA!$M$2:$M$1201, 1, DATA!$B$2:$B$1201, "male", DATA!$D$2:$D$1201, IF(TDB1!$J$3="Tous", "&lt;&gt;", TDB1!$J$3), DATA!$I$2:$I$1201, IF(TDB1!$M$3="Tous", "&lt;&gt;", TDB1!$M$3), DATA!$A$2:$A$1201, IF(TDB1!$D$3="Tous", "&lt;&gt;", TDB1!$D$3)), 0), 0)</f>
        <v/>
      </c>
    </row>
    <row r="123">
      <c r="A123" t="inlineStr">
        <is>
          <t>Female</t>
        </is>
      </c>
      <c r="B123" s="19">
        <f>IF(OR(TDB1!$G$3="Tous", TDB1!$G$3="Female"), IFERROR(COUNTIFS(DATA!$M$2:$M$1201, 1, DATA!$B$2:$B$1201, "female", DATA!$D$2:$D$1201, IF(TDB1!$J$3="Tous", "&lt;&gt;", TDB1!$J$3), DATA!$I$2:$I$1201, IF(TDB1!$M$3="Tous", "&lt;&gt;", TDB1!$M$3), DATA!$A$2:$A$1201, IF(TDB1!$D$3="Tous", "&lt;&gt;", TDB1!$D$3)), 0), 0)</f>
        <v/>
      </c>
    </row>
  </sheetData>
  <mergeCells count="8">
    <mergeCell ref="A1:J1"/>
    <mergeCell ref="A30:H30"/>
    <mergeCell ref="A33:C33"/>
    <mergeCell ref="A32:C32"/>
    <mergeCell ref="A20:H20"/>
    <mergeCell ref="D32:F32"/>
    <mergeCell ref="A10:J10"/>
    <mergeCell ref="D33:F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5" t="inlineStr">
        <is>
          <t>Performance Scolaire Moyenne par Sexe et Temps d'Écran</t>
        </is>
      </c>
    </row>
    <row r="2">
      <c r="A2" s="31" t="inlineStr">
        <is>
          <t>Sexe</t>
        </is>
      </c>
      <c r="B2" s="31" t="inlineStr">
        <is>
          <t>0-1h</t>
        </is>
      </c>
      <c r="C2" s="31" t="inlineStr">
        <is>
          <t>1-2h</t>
        </is>
      </c>
      <c r="D2" s="31" t="inlineStr">
        <is>
          <t>2-3h</t>
        </is>
      </c>
      <c r="E2" s="31" t="inlineStr">
        <is>
          <t>3-4h</t>
        </is>
      </c>
    </row>
    <row r="3">
      <c r="A3" t="inlineStr">
        <is>
          <t>Male</t>
        </is>
      </c>
      <c r="B3" s="30">
        <f>IFERROR(AVERAGEIFS(DATA!$G:$G, DATA!$B:$B, "male", DATA!$F:$F, "&gt;="&amp;0, DATA!$F:$F, "&lt;"&amp;1, DATA!$A:$A, IF(TDB2!$D$3="Tous", "&lt;&gt;", TDB2!$D$3), DATA!$D:$D, IF(TDB2!$J$3="Tous", "&lt;&gt;", TDB2!$J$3), DATA!$I:$I, IF(TDB2!$M$3="Tous", "&lt;&gt;", TDB2!$M$3)), 0)</f>
        <v/>
      </c>
      <c r="C3" s="30">
        <f>IFERROR(AVERAGEIFS(DATA!$G:$G, DATA!$B:$B, "male", DATA!$F:$F, "&gt;="&amp;1, DATA!$F:$F, "&lt;"&amp;2, DATA!$A:$A, IF(TDB2!$D$3="Tous", "&lt;&gt;", TDB2!$D$3), DATA!$D:$D, IF(TDB2!$J$3="Tous", "&lt;&gt;", TDB2!$J$3), DATA!$I:$I, IF(TDB2!$M$3="Tous", "&lt;&gt;", TDB2!$M$3)), 0)</f>
        <v/>
      </c>
      <c r="D3" s="30">
        <f>IFERROR(AVERAGEIFS(DATA!$G:$G, DATA!$B:$B, "male", DATA!$F:$F, "&gt;="&amp;2, DATA!$F:$F, "&lt;"&amp;3, DATA!$A:$A, IF(TDB2!$D$3="Tous", "&lt;&gt;", TDB2!$D$3), DATA!$D:$D, IF(TDB2!$J$3="Tous", "&lt;&gt;", TDB2!$J$3), DATA!$I:$I, IF(TDB2!$M$3="Tous", "&lt;&gt;", TDB2!$M$3)), 0)</f>
        <v/>
      </c>
      <c r="E3" s="30">
        <f>IFERROR(AVERAGEIFS(DATA!$G:$G, DATA!$B:$B, "male", DATA!$F:$F, "&gt;="&amp;3, DATA!$F:$F, "&lt;"&amp;4, DATA!$A:$A, IF(TDB2!$D$3="Tous", "&lt;&gt;", TDB2!$D$3), DATA!$D:$D, IF(TDB2!$J$3="Tous", "&lt;&gt;", TDB2!$J$3), DATA!$I:$I, IF(TDB2!$M$3="Tous", "&lt;&gt;", TDB2!$M$3)), 0)</f>
        <v/>
      </c>
    </row>
    <row r="4">
      <c r="A4" t="inlineStr">
        <is>
          <t>Female</t>
        </is>
      </c>
      <c r="B4" s="30">
        <f>IFERROR(AVERAGEIFS(DATA!$G:$G, DATA!$B:$B, "female", DATA!$F:$F, "&gt;="&amp;0, DATA!$F:$F, "&lt;"&amp;1, DATA!$A:$A, IF(TDB2!$D$3="Tous", "&lt;&gt;", TDB2!$D$3), DATA!$D:$D, IF(TDB2!$J$3="Tous", "&lt;&gt;", TDB2!$J$3), DATA!$I:$I, IF(TDB2!$M$3="Tous", "&lt;&gt;", TDB2!$M$3)), 0)</f>
        <v/>
      </c>
      <c r="C4" s="30">
        <f>IFERROR(AVERAGEIFS(DATA!$G:$G, DATA!$B:$B, "female", DATA!$F:$F, "&gt;="&amp;1, DATA!$F:$F, "&lt;"&amp;2, DATA!$A:$A, IF(TDB2!$D$3="Tous", "&lt;&gt;", TDB2!$D$3), DATA!$D:$D, IF(TDB2!$J$3="Tous", "&lt;&gt;", TDB2!$J$3), DATA!$I:$I, IF(TDB2!$M$3="Tous", "&lt;&gt;", TDB2!$M$3)), 0)</f>
        <v/>
      </c>
      <c r="D4" s="30">
        <f>IFERROR(AVERAGEIFS(DATA!$G:$G, DATA!$B:$B, "female", DATA!$F:$F, "&gt;="&amp;2, DATA!$F:$F, "&lt;"&amp;3, DATA!$A:$A, IF(TDB2!$D$3="Tous", "&lt;&gt;", TDB2!$D$3), DATA!$D:$D, IF(TDB2!$J$3="Tous", "&lt;&gt;", TDB2!$J$3), DATA!$I:$I, IF(TDB2!$M$3="Tous", "&lt;&gt;", TDB2!$M$3)), 0)</f>
        <v/>
      </c>
      <c r="E4" s="30">
        <f>IFERROR(AVERAGEIFS(DATA!$G:$G, DATA!$B:$B, "female", DATA!$F:$F, "&gt;="&amp;3, DATA!$F:$F, "&lt;"&amp;4, DATA!$A:$A, IF(TDB2!$D$3="Tous", "&lt;&gt;", TDB2!$D$3), DATA!$D:$D, IF(TDB2!$J$3="Tous", "&lt;&gt;", TDB2!$J$3), DATA!$I:$I, IF(TDB2!$M$3="Tous", "&lt;&gt;", TDB2!$M$3)), 0)</f>
        <v/>
      </c>
    </row>
    <row r="10" ht="25" customHeight="1">
      <c r="A10" s="5" t="inlineStr">
        <is>
          <t>Nombre de dépressifs par Âge</t>
        </is>
      </c>
    </row>
    <row r="11">
      <c r="A11" s="32" t="inlineStr">
        <is>
          <t>Âge</t>
        </is>
      </c>
      <c r="B11" s="32" t="inlineStr">
        <is>
          <t>Nombre de dépressifs</t>
        </is>
      </c>
    </row>
    <row r="12">
      <c r="A12" s="33">
        <f>IF(OR(TDB2!$D$3="Tous", IFERROR(INDEX(CALC!$C$2:$C$100,1),)=TDB2!$D$3), IFERROR(INDEX(CALC!$C$2:$C$100,1),""), "")</f>
        <v/>
      </c>
      <c r="B12" s="6">
        <f>IF(OR(TDB2!$D$3="Tous", IFERROR(INDEX(CALC!$C$2:$C$100,1),)=TDB2!$D$3), IFERROR(COUNTIFS(DATA!$M$2:$M$1201, 1, DATA!$A$2:$A$1201, IF(TDB2!$D$3="Tous", IFERROR(INDEX(CALC!$C$2:$C$100,1),), TDB2!$D$3), DATA!$B$2:$B$1201, IF(TDB2!$G$3="Tous", "&lt;&gt;", TDB2!$G$3), DATA!$D$2:$D$1201, IF(TDB2!$J$3="Tous", "&lt;&gt;", TDB2!$J$3), DATA!$I$2:$I$1201, IF(TDB2!$M$3="Tous", "&lt;&gt;", TDB2!$M$3)), 0), "")</f>
        <v/>
      </c>
    </row>
    <row r="13">
      <c r="A13" s="33">
        <f>IF(OR(TDB2!$D$3="Tous", IFERROR(INDEX(CALC!$C$2:$C$100,2),)=TDB2!$D$3), IFERROR(INDEX(CALC!$C$2:$C$100,2),""), "")</f>
        <v/>
      </c>
      <c r="B13" s="6">
        <f>IF(OR(TDB2!$D$3="Tous", IFERROR(INDEX(CALC!$C$2:$C$100,2),)=TDB2!$D$3), IFERROR(COUNTIFS(DATA!$M$2:$M$1201, 1, DATA!$A$2:$A$1201, IF(TDB2!$D$3="Tous", IFERROR(INDEX(CALC!$C$2:$C$100,2),), TDB2!$D$3), DATA!$B$2:$B$1201, IF(TDB2!$G$3="Tous", "&lt;&gt;", TDB2!$G$3), DATA!$D$2:$D$1201, IF(TDB2!$J$3="Tous", "&lt;&gt;", TDB2!$J$3), DATA!$I$2:$I$1201, IF(TDB2!$M$3="Tous", "&lt;&gt;", TDB2!$M$3)), 0), "")</f>
        <v/>
      </c>
    </row>
    <row r="14">
      <c r="A14" s="33">
        <f>IF(OR(TDB2!$D$3="Tous", IFERROR(INDEX(CALC!$C$2:$C$100,3),)=TDB2!$D$3), IFERROR(INDEX(CALC!$C$2:$C$100,3),""), "")</f>
        <v/>
      </c>
      <c r="B14" s="6">
        <f>IF(OR(TDB2!$D$3="Tous", IFERROR(INDEX(CALC!$C$2:$C$100,3),)=TDB2!$D$3), IFERROR(COUNTIFS(DATA!$M$2:$M$1201, 1, DATA!$A$2:$A$1201, IF(TDB2!$D$3="Tous", IFERROR(INDEX(CALC!$C$2:$C$100,3),), TDB2!$D$3), DATA!$B$2:$B$1201, IF(TDB2!$G$3="Tous", "&lt;&gt;", TDB2!$G$3), DATA!$D$2:$D$1201, IF(TDB2!$J$3="Tous", "&lt;&gt;", TDB2!$J$3), DATA!$I$2:$I$1201, IF(TDB2!$M$3="Tous", "&lt;&gt;", TDB2!$M$3)), 0), "")</f>
        <v/>
      </c>
    </row>
    <row r="15">
      <c r="A15" s="33">
        <f>IF(OR(TDB2!$D$3="Tous", IFERROR(INDEX(CALC!$C$2:$C$100,4),)=TDB2!$D$3), IFERROR(INDEX(CALC!$C$2:$C$100,4),""), "")</f>
        <v/>
      </c>
      <c r="B15" s="6">
        <f>IF(OR(TDB2!$D$3="Tous", IFERROR(INDEX(CALC!$C$2:$C$100,4),)=TDB2!$D$3), IFERROR(COUNTIFS(DATA!$M$2:$M$1201, 1, DATA!$A$2:$A$1201, IF(TDB2!$D$3="Tous", IFERROR(INDEX(CALC!$C$2:$C$100,4),), TDB2!$D$3), DATA!$B$2:$B$1201, IF(TDB2!$G$3="Tous", "&lt;&gt;", TDB2!$G$3), DATA!$D$2:$D$1201, IF(TDB2!$J$3="Tous", "&lt;&gt;", TDB2!$J$3), DATA!$I$2:$I$1201, IF(TDB2!$M$3="Tous", "&lt;&gt;", TDB2!$M$3)), 0), "")</f>
        <v/>
      </c>
    </row>
    <row r="16">
      <c r="A16" s="33">
        <f>IF(OR(TDB2!$D$3="Tous", IFERROR(INDEX(CALC!$C$2:$C$100,5),)=TDB2!$D$3), IFERROR(INDEX(CALC!$C$2:$C$100,5),""), "")</f>
        <v/>
      </c>
      <c r="B16" s="6">
        <f>IF(OR(TDB2!$D$3="Tous", IFERROR(INDEX(CALC!$C$2:$C$100,5),)=TDB2!$D$3), IFERROR(COUNTIFS(DATA!$M$2:$M$1201, 1, DATA!$A$2:$A$1201, IF(TDB2!$D$3="Tous", IFERROR(INDEX(CALC!$C$2:$C$100,5),), TDB2!$D$3), DATA!$B$2:$B$1201, IF(TDB2!$G$3="Tous", "&lt;&gt;", TDB2!$G$3), DATA!$D$2:$D$1201, IF(TDB2!$J$3="Tous", "&lt;&gt;", TDB2!$J$3), DATA!$I$2:$I$1201, IF(TDB2!$M$3="Tous", "&lt;&gt;", TDB2!$M$3)), 0), "")</f>
        <v/>
      </c>
    </row>
    <row r="17">
      <c r="A17" s="33">
        <f>IF(OR(TDB2!$D$3="Tous", IFERROR(INDEX(CALC!$C$2:$C$100,6),)=TDB2!$D$3), IFERROR(INDEX(CALC!$C$2:$C$100,6),""), "")</f>
        <v/>
      </c>
      <c r="B17" s="6">
        <f>IF(OR(TDB2!$D$3="Tous", IFERROR(INDEX(CALC!$C$2:$C$100,6),)=TDB2!$D$3), IFERROR(COUNTIFS(DATA!$M$2:$M$1201, 1, DATA!$A$2:$A$1201, IF(TDB2!$D$3="Tous", IFERROR(INDEX(CALC!$C$2:$C$100,6),), TDB2!$D$3), DATA!$B$2:$B$1201, IF(TDB2!$G$3="Tous", "&lt;&gt;", TDB2!$G$3), DATA!$D$2:$D$1201, IF(TDB2!$J$3="Tous", "&lt;&gt;", TDB2!$J$3), DATA!$I$2:$I$1201, IF(TDB2!$M$3="Tous", "&lt;&gt;", TDB2!$M$3)), 0), "")</f>
        <v/>
      </c>
    </row>
    <row r="18">
      <c r="A18" s="33">
        <f>IF(OR(TDB2!$D$3="Tous", IFERROR(INDEX(CALC!$C$2:$C$100,7),)=TDB2!$D$3), IFERROR(INDEX(CALC!$C$2:$C$100,7),""), "")</f>
        <v/>
      </c>
      <c r="B18" s="6">
        <f>IF(OR(TDB2!$D$3="Tous", IFERROR(INDEX(CALC!$C$2:$C$100,7),)=TDB2!$D$3), IFERROR(COUNTIFS(DATA!$M$2:$M$1201, 1, DATA!$A$2:$A$1201, IF(TDB2!$D$3="Tous", IFERROR(INDEX(CALC!$C$2:$C$100,7),), TDB2!$D$3), DATA!$B$2:$B$1201, IF(TDB2!$G$3="Tous", "&lt;&gt;", TDB2!$G$3), DATA!$D$2:$D$1201, IF(TDB2!$J$3="Tous", "&lt;&gt;", TDB2!$J$3), DATA!$I$2:$I$1201, IF(TDB2!$M$3="Tous", "&lt;&gt;", TDB2!$M$3)), 0), "")</f>
        <v/>
      </c>
    </row>
  </sheetData>
  <mergeCells count="2">
    <mergeCell ref="A10:B10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</cols>
  <sheetData>
    <row r="1" ht="25" customHeight="1">
      <c r="A1" s="34" t="inlineStr">
        <is>
          <t>Sommeil vs Addiction par Interaction Sociale</t>
        </is>
      </c>
    </row>
    <row r="2">
      <c r="A2" s="32" t="inlineStr">
        <is>
          <t>Sommeil (h)</t>
        </is>
      </c>
      <c r="B2" s="32" t="inlineStr">
        <is>
          <t>Addiction (Low)</t>
        </is>
      </c>
      <c r="C2" s="32" t="inlineStr">
        <is>
          <t>Addiction (High)</t>
        </is>
      </c>
    </row>
    <row r="3">
      <c r="A3" s="35" t="n">
        <v>4</v>
      </c>
      <c r="B3" s="7">
        <f>IFERROR(AVERAGEIFS(DATA!$L$2:$L$1201, DATA!$E$2:$E$1201, "&gt;="&amp;(4.0-0.25), DATA!$E$2:$E$1201, "&lt;"&amp;(4.0+0.25), DATA!$I$2:$I$1201, "low"), 0)</f>
        <v/>
      </c>
      <c r="C3" s="7">
        <f>IFERROR(AVERAGEIFS(DATA!$L$2:$L$1201, DATA!$E$2:$E$1201, "&gt;="&amp;(4.0-0.25), DATA!$E$2:$E$1201, "&lt;"&amp;(4.0+0.25), DATA!$I$2:$I$1201, "high"), 0)</f>
        <v/>
      </c>
    </row>
    <row r="4">
      <c r="A4" s="35" t="n">
        <v>4.5</v>
      </c>
      <c r="B4" s="7">
        <f>IFERROR(AVERAGEIFS(DATA!$L$2:$L$1201, DATA!$E$2:$E$1201, "&gt;="&amp;(4.5-0.25), DATA!$E$2:$E$1201, "&lt;"&amp;(4.5+0.25), DATA!$I$2:$I$1201, "low"), 0)</f>
        <v/>
      </c>
      <c r="C4" s="7">
        <f>IFERROR(AVERAGEIFS(DATA!$L$2:$L$1201, DATA!$E$2:$E$1201, "&gt;="&amp;(4.5-0.25), DATA!$E$2:$E$1201, "&lt;"&amp;(4.5+0.25), DATA!$I$2:$I$1201, "high"), 0)</f>
        <v/>
      </c>
    </row>
    <row r="5">
      <c r="A5" s="35" t="n">
        <v>5</v>
      </c>
      <c r="B5" s="7">
        <f>IFERROR(AVERAGEIFS(DATA!$L$2:$L$1201, DATA!$E$2:$E$1201, "&gt;="&amp;(5.0-0.25), DATA!$E$2:$E$1201, "&lt;"&amp;(5.0+0.25), DATA!$I$2:$I$1201, "low"), 0)</f>
        <v/>
      </c>
      <c r="C5" s="7">
        <f>IFERROR(AVERAGEIFS(DATA!$L$2:$L$1201, DATA!$E$2:$E$1201, "&gt;="&amp;(5.0-0.25), DATA!$E$2:$E$1201, "&lt;"&amp;(5.0+0.25), DATA!$I$2:$I$1201, "high"), 0)</f>
        <v/>
      </c>
    </row>
    <row r="6">
      <c r="A6" s="35" t="n">
        <v>5.5</v>
      </c>
      <c r="B6" s="7">
        <f>IFERROR(AVERAGEIFS(DATA!$L$2:$L$1201, DATA!$E$2:$E$1201, "&gt;="&amp;(5.5-0.25), DATA!$E$2:$E$1201, "&lt;"&amp;(5.5+0.25), DATA!$I$2:$I$1201, "low"), 0)</f>
        <v/>
      </c>
      <c r="C6" s="7">
        <f>IFERROR(AVERAGEIFS(DATA!$L$2:$L$1201, DATA!$E$2:$E$1201, "&gt;="&amp;(5.5-0.25), DATA!$E$2:$E$1201, "&lt;"&amp;(5.5+0.25), DATA!$I$2:$I$1201, "high"), 0)</f>
        <v/>
      </c>
    </row>
    <row r="7">
      <c r="A7" s="35" t="n">
        <v>6</v>
      </c>
      <c r="B7" s="7">
        <f>IFERROR(AVERAGEIFS(DATA!$L$2:$L$1201, DATA!$E$2:$E$1201, "&gt;="&amp;(6.0-0.25), DATA!$E$2:$E$1201, "&lt;"&amp;(6.0+0.25), DATA!$I$2:$I$1201, "low"), 0)</f>
        <v/>
      </c>
      <c r="C7" s="7">
        <f>IFERROR(AVERAGEIFS(DATA!$L$2:$L$1201, DATA!$E$2:$E$1201, "&gt;="&amp;(6.0-0.25), DATA!$E$2:$E$1201, "&lt;"&amp;(6.0+0.25), DATA!$I$2:$I$1201, "high"), 0)</f>
        <v/>
      </c>
    </row>
    <row r="8">
      <c r="A8" s="35" t="n">
        <v>6.5</v>
      </c>
      <c r="B8" s="7">
        <f>IFERROR(AVERAGEIFS(DATA!$L$2:$L$1201, DATA!$E$2:$E$1201, "&gt;="&amp;(6.5-0.25), DATA!$E$2:$E$1201, "&lt;"&amp;(6.5+0.25), DATA!$I$2:$I$1201, "low"), 0)</f>
        <v/>
      </c>
      <c r="C8" s="7">
        <f>IFERROR(AVERAGEIFS(DATA!$L$2:$L$1201, DATA!$E$2:$E$1201, "&gt;="&amp;(6.5-0.25), DATA!$E$2:$E$1201, "&lt;"&amp;(6.5+0.25), DATA!$I$2:$I$1201, "high"), 0)</f>
        <v/>
      </c>
    </row>
    <row r="9">
      <c r="A9" s="35" t="n">
        <v>7</v>
      </c>
      <c r="B9" s="7">
        <f>IFERROR(AVERAGEIFS(DATA!$L$2:$L$1201, DATA!$E$2:$E$1201, "&gt;="&amp;(7.0-0.25), DATA!$E$2:$E$1201, "&lt;"&amp;(7.0+0.25), DATA!$I$2:$I$1201, "low"), 0)</f>
        <v/>
      </c>
      <c r="C9" s="7">
        <f>IFERROR(AVERAGEIFS(DATA!$L$2:$L$1201, DATA!$E$2:$E$1201, "&gt;="&amp;(7.0-0.25), DATA!$E$2:$E$1201, "&lt;"&amp;(7.0+0.25), DATA!$I$2:$I$1201, "high"), 0)</f>
        <v/>
      </c>
    </row>
    <row r="10">
      <c r="A10" s="35" t="n">
        <v>7.5</v>
      </c>
      <c r="B10" s="7">
        <f>IFERROR(AVERAGEIFS(DATA!$L$2:$L$1201, DATA!$E$2:$E$1201, "&gt;="&amp;(7.5-0.25), DATA!$E$2:$E$1201, "&lt;"&amp;(7.5+0.25), DATA!$I$2:$I$1201, "low"), 0)</f>
        <v/>
      </c>
      <c r="C10" s="7">
        <f>IFERROR(AVERAGEIFS(DATA!$L$2:$L$1201, DATA!$E$2:$E$1201, "&gt;="&amp;(7.5-0.25), DATA!$E$2:$E$1201, "&lt;"&amp;(7.5+0.25), DATA!$I$2:$I$1201, "high"), 0)</f>
        <v/>
      </c>
    </row>
    <row r="11">
      <c r="A11" s="35" t="n">
        <v>8</v>
      </c>
      <c r="B11" s="7">
        <f>IFERROR(AVERAGEIFS(DATA!$L$2:$L$1201, DATA!$E$2:$E$1201, "&gt;="&amp;(8.0-0.25), DATA!$E$2:$E$1201, "&lt;"&amp;(8.0+0.25), DATA!$I$2:$I$1201, "low"), 0)</f>
        <v/>
      </c>
      <c r="C11" s="7">
        <f>IFERROR(AVERAGEIFS(DATA!$L$2:$L$1201, DATA!$E$2:$E$1201, "&gt;="&amp;(8.0-0.25), DATA!$E$2:$E$1201, "&lt;"&amp;(8.0+0.25), DATA!$I$2:$I$1201, "high"), 0)</f>
        <v/>
      </c>
    </row>
    <row r="12">
      <c r="A12" s="35" t="n">
        <v>8.5</v>
      </c>
      <c r="B12" s="7">
        <f>IFERROR(AVERAGEIFS(DATA!$L$2:$L$1201, DATA!$E$2:$E$1201, "&gt;="&amp;(8.5-0.25), DATA!$E$2:$E$1201, "&lt;"&amp;(8.5+0.25), DATA!$I$2:$I$1201, "low"), 0)</f>
        <v/>
      </c>
      <c r="C12" s="7">
        <f>IFERROR(AVERAGEIFS(DATA!$L$2:$L$1201, DATA!$E$2:$E$1201, "&gt;="&amp;(8.5-0.25), DATA!$E$2:$E$1201, "&lt;"&amp;(8.5+0.25), DATA!$I$2:$I$1201, "high"), 0)</f>
        <v/>
      </c>
    </row>
    <row r="15" ht="25" customHeight="1">
      <c r="A15" s="34" t="inlineStr">
        <is>
          <t>Performance vs Stress par Genre</t>
        </is>
      </c>
    </row>
    <row r="16">
      <c r="A16" s="32" t="inlineStr">
        <is>
          <t>Stress</t>
        </is>
      </c>
      <c r="B16" s="32" t="inlineStr">
        <is>
          <t>Performance (Male)</t>
        </is>
      </c>
      <c r="C16" s="32" t="inlineStr">
        <is>
          <t>Performance (Female)</t>
        </is>
      </c>
    </row>
    <row r="17">
      <c r="A17" s="36" t="n">
        <v>1</v>
      </c>
      <c r="B17" s="7">
        <f>IFERROR(AVERAGEIFS(DATA!$G$2:$G$1201, DATA!$J$2:$J$1201, 1, DATA!$B$2:$B$1201, "male"), 0)</f>
        <v/>
      </c>
      <c r="C17" s="7">
        <f>IFERROR(AVERAGEIFS(DATA!$G$2:$G$1201, DATA!$J$2:$J$1201, 1, DATA!$B$2:$B$1201, "female"), 0)</f>
        <v/>
      </c>
    </row>
    <row r="18">
      <c r="A18" s="36" t="n">
        <v>2</v>
      </c>
      <c r="B18" s="7">
        <f>IFERROR(AVERAGEIFS(DATA!$G$2:$G$1201, DATA!$J$2:$J$1201, 2, DATA!$B$2:$B$1201, "male"), 0)</f>
        <v/>
      </c>
      <c r="C18" s="7">
        <f>IFERROR(AVERAGEIFS(DATA!$G$2:$G$1201, DATA!$J$2:$J$1201, 2, DATA!$B$2:$B$1201, "female"), 0)</f>
        <v/>
      </c>
    </row>
    <row r="19">
      <c r="A19" s="36" t="n">
        <v>3</v>
      </c>
      <c r="B19" s="7">
        <f>IFERROR(AVERAGEIFS(DATA!$G$2:$G$1201, DATA!$J$2:$J$1201, 3, DATA!$B$2:$B$1201, "male"), 0)</f>
        <v/>
      </c>
      <c r="C19" s="7">
        <f>IFERROR(AVERAGEIFS(DATA!$G$2:$G$1201, DATA!$J$2:$J$1201, 3, DATA!$B$2:$B$1201, "female"), 0)</f>
        <v/>
      </c>
    </row>
    <row r="20">
      <c r="A20" s="36" t="n">
        <v>4</v>
      </c>
      <c r="B20" s="7">
        <f>IFERROR(AVERAGEIFS(DATA!$G$2:$G$1201, DATA!$J$2:$J$1201, 4, DATA!$B$2:$B$1201, "male"), 0)</f>
        <v/>
      </c>
      <c r="C20" s="7">
        <f>IFERROR(AVERAGEIFS(DATA!$G$2:$G$1201, DATA!$J$2:$J$1201, 4, DATA!$B$2:$B$1201, "female"), 0)</f>
        <v/>
      </c>
    </row>
    <row r="21">
      <c r="A21" s="36" t="n">
        <v>5</v>
      </c>
      <c r="B21" s="7">
        <f>IFERROR(AVERAGEIFS(DATA!$G$2:$G$1201, DATA!$J$2:$J$1201, 5, DATA!$B$2:$B$1201, "male"), 0)</f>
        <v/>
      </c>
      <c r="C21" s="7">
        <f>IFERROR(AVERAGEIFS(DATA!$G$2:$G$1201, DATA!$J$2:$J$1201, 5, DATA!$B$2:$B$1201, "female"), 0)</f>
        <v/>
      </c>
    </row>
    <row r="22">
      <c r="A22" s="36" t="n">
        <v>6</v>
      </c>
      <c r="B22" s="7">
        <f>IFERROR(AVERAGEIFS(DATA!$G$2:$G$1201, DATA!$J$2:$J$1201, 6, DATA!$B$2:$B$1201, "male"), 0)</f>
        <v/>
      </c>
      <c r="C22" s="7">
        <f>IFERROR(AVERAGEIFS(DATA!$G$2:$G$1201, DATA!$J$2:$J$1201, 6, DATA!$B$2:$B$1201, "female"), 0)</f>
        <v/>
      </c>
    </row>
    <row r="23">
      <c r="A23" s="36" t="n">
        <v>7</v>
      </c>
      <c r="B23" s="7">
        <f>IFERROR(AVERAGEIFS(DATA!$G$2:$G$1201, DATA!$J$2:$J$1201, 7, DATA!$B$2:$B$1201, "male"), 0)</f>
        <v/>
      </c>
      <c r="C23" s="7">
        <f>IFERROR(AVERAGEIFS(DATA!$G$2:$G$1201, DATA!$J$2:$J$1201, 7, DATA!$B$2:$B$1201, "female"), 0)</f>
        <v/>
      </c>
    </row>
    <row r="24">
      <c r="A24" s="36" t="n">
        <v>8</v>
      </c>
      <c r="B24" s="7">
        <f>IFERROR(AVERAGEIFS(DATA!$G$2:$G$1201, DATA!$J$2:$J$1201, 8, DATA!$B$2:$B$1201, "male"), 0)</f>
        <v/>
      </c>
      <c r="C24" s="7">
        <f>IFERROR(AVERAGEIFS(DATA!$G$2:$G$1201, DATA!$J$2:$J$1201, 8, DATA!$B$2:$B$1201, "female"), 0)</f>
        <v/>
      </c>
    </row>
    <row r="25">
      <c r="A25" s="36" t="n">
        <v>9</v>
      </c>
      <c r="B25" s="7">
        <f>IFERROR(AVERAGEIFS(DATA!$G$2:$G$1201, DATA!$J$2:$J$1201, 9, DATA!$B$2:$B$1201, "male"), 0)</f>
        <v/>
      </c>
      <c r="C25" s="7">
        <f>IFERROR(AVERAGEIFS(DATA!$G$2:$G$1201, DATA!$J$2:$J$1201, 9, DATA!$B$2:$B$1201, "female"), 0)</f>
        <v/>
      </c>
    </row>
    <row r="26">
      <c r="A26" s="36" t="n">
        <v>10</v>
      </c>
      <c r="B26" s="7">
        <f>IFERROR(AVERAGEIFS(DATA!$G$2:$G$1201, DATA!$J$2:$J$1201, 10, DATA!$B$2:$B$1201, "male"), 0)</f>
        <v/>
      </c>
      <c r="C26" s="7">
        <f>IFERROR(AVERAGEIFS(DATA!$G$2:$G$1201, DATA!$J$2:$J$1201, 10, DATA!$B$2:$B$1201, "female"), 0)</f>
        <v/>
      </c>
    </row>
    <row r="30" ht="25" customHeight="1">
      <c r="A30" s="34" t="inlineStr">
        <is>
          <t>Anxiété vs Temps d'Écran par Interaction</t>
        </is>
      </c>
    </row>
    <row r="31">
      <c r="A31" s="32" t="inlineStr">
        <is>
          <t>Temps d'écran (h)</t>
        </is>
      </c>
      <c r="B31" s="32" t="inlineStr">
        <is>
          <t>Anxiété (Low)</t>
        </is>
      </c>
      <c r="C31" s="32" t="inlineStr">
        <is>
          <t>Anxiété (High)</t>
        </is>
      </c>
    </row>
    <row r="32">
      <c r="A32" s="35" t="n">
        <v>0.5</v>
      </c>
      <c r="B32" s="7">
        <f>IFERROR(AVERAGEIFS(DATA!$K$2:$K$1201, DATA!$F$2:$F$1201, "&gt;="&amp;(0.5-0.25), DATA!$F$2:$F$1201, "&lt;"&amp;(0.5+0.25), DATA!$I$2:$I$1201, "low"), 0)</f>
        <v/>
      </c>
      <c r="C32" s="7">
        <f>IFERROR(AVERAGEIFS(DATA!$K$2:$K$1201, DATA!$F$2:$F$1201, "&gt;="&amp;(0.5-0.25), DATA!$F$2:$F$1201, "&lt;"&amp;(0.5+0.25), DATA!$I$2:$I$1201, "high"), 0)</f>
        <v/>
      </c>
    </row>
    <row r="33">
      <c r="A33" s="35" t="n">
        <v>1</v>
      </c>
      <c r="B33" s="7">
        <f>IFERROR(AVERAGEIFS(DATA!$K$2:$K$1201, DATA!$F$2:$F$1201, "&gt;="&amp;(1.0-0.25), DATA!$F$2:$F$1201, "&lt;"&amp;(1.0+0.25), DATA!$I$2:$I$1201, "low"), 0)</f>
        <v/>
      </c>
      <c r="C33" s="7">
        <f>IFERROR(AVERAGEIFS(DATA!$K$2:$K$1201, DATA!$F$2:$F$1201, "&gt;="&amp;(1.0-0.25), DATA!$F$2:$F$1201, "&lt;"&amp;(1.0+0.25), DATA!$I$2:$I$1201, "high"), 0)</f>
        <v/>
      </c>
    </row>
    <row r="34">
      <c r="A34" s="35" t="n">
        <v>1.5</v>
      </c>
      <c r="B34" s="7">
        <f>IFERROR(AVERAGEIFS(DATA!$K$2:$K$1201, DATA!$F$2:$F$1201, "&gt;="&amp;(1.5-0.25), DATA!$F$2:$F$1201, "&lt;"&amp;(1.5+0.25), DATA!$I$2:$I$1201, "low"), 0)</f>
        <v/>
      </c>
      <c r="C34" s="7">
        <f>IFERROR(AVERAGEIFS(DATA!$K$2:$K$1201, DATA!$F$2:$F$1201, "&gt;="&amp;(1.5-0.25), DATA!$F$2:$F$1201, "&lt;"&amp;(1.5+0.25), DATA!$I$2:$I$1201, "high"), 0)</f>
        <v/>
      </c>
    </row>
    <row r="35">
      <c r="A35" s="35" t="n">
        <v>2</v>
      </c>
      <c r="B35" s="7">
        <f>IFERROR(AVERAGEIFS(DATA!$K$2:$K$1201, DATA!$F$2:$F$1201, "&gt;="&amp;(2.0-0.25), DATA!$F$2:$F$1201, "&lt;"&amp;(2.0+0.25), DATA!$I$2:$I$1201, "low"), 0)</f>
        <v/>
      </c>
      <c r="C35" s="7">
        <f>IFERROR(AVERAGEIFS(DATA!$K$2:$K$1201, DATA!$F$2:$F$1201, "&gt;="&amp;(2.0-0.25), DATA!$F$2:$F$1201, "&lt;"&amp;(2.0+0.25), DATA!$I$2:$I$1201, "high"), 0)</f>
        <v/>
      </c>
    </row>
    <row r="36">
      <c r="A36" s="35" t="n">
        <v>2.5</v>
      </c>
      <c r="B36" s="7">
        <f>IFERROR(AVERAGEIFS(DATA!$K$2:$K$1201, DATA!$F$2:$F$1201, "&gt;="&amp;(2.5-0.25), DATA!$F$2:$F$1201, "&lt;"&amp;(2.5+0.25), DATA!$I$2:$I$1201, "low"), 0)</f>
        <v/>
      </c>
      <c r="C36" s="7">
        <f>IFERROR(AVERAGEIFS(DATA!$K$2:$K$1201, DATA!$F$2:$F$1201, "&gt;="&amp;(2.5-0.25), DATA!$F$2:$F$1201, "&lt;"&amp;(2.5+0.25), DATA!$I$2:$I$1201, "high"), 0)</f>
        <v/>
      </c>
    </row>
    <row r="37">
      <c r="A37" s="35" t="n">
        <v>3</v>
      </c>
      <c r="B37" s="7">
        <f>IFERROR(AVERAGEIFS(DATA!$K$2:$K$1201, DATA!$F$2:$F$1201, "&gt;="&amp;(3.0-0.25), DATA!$F$2:$F$1201, "&lt;"&amp;(3.0+0.25), DATA!$I$2:$I$1201, "low"), 0)</f>
        <v/>
      </c>
      <c r="C37" s="7">
        <f>IFERROR(AVERAGEIFS(DATA!$K$2:$K$1201, DATA!$F$2:$F$1201, "&gt;="&amp;(3.0-0.25), DATA!$F$2:$F$1201, "&lt;"&amp;(3.0+0.25), DATA!$I$2:$I$1201, "high"), 0)</f>
        <v/>
      </c>
    </row>
    <row r="38">
      <c r="A38" s="35" t="n">
        <v>3.5</v>
      </c>
      <c r="B38" s="7">
        <f>IFERROR(AVERAGEIFS(DATA!$K$2:$K$1201, DATA!$F$2:$F$1201, "&gt;="&amp;(3.5-0.25), DATA!$F$2:$F$1201, "&lt;"&amp;(3.5+0.25), DATA!$I$2:$I$1201, "low"), 0)</f>
        <v/>
      </c>
      <c r="C38" s="7">
        <f>IFERROR(AVERAGEIFS(DATA!$K$2:$K$1201, DATA!$F$2:$F$1201, "&gt;="&amp;(3.5-0.25), DATA!$F$2:$F$1201, "&lt;"&amp;(3.5+0.25), DATA!$I$2:$I$1201, "high"), 0)</f>
        <v/>
      </c>
    </row>
    <row r="42" ht="25" customHeight="1">
      <c r="A42" s="34" t="inlineStr">
        <is>
          <t>Performance vs Sommeil par État Dépressif</t>
        </is>
      </c>
    </row>
    <row r="43">
      <c r="A43" s="32" t="inlineStr">
        <is>
          <t>Sommeil (h)</t>
        </is>
      </c>
      <c r="B43" s="32" t="inlineStr">
        <is>
          <t>Performance (No Dep)</t>
        </is>
      </c>
      <c r="C43" s="32" t="inlineStr">
        <is>
          <t>Performance (Dep)</t>
        </is>
      </c>
    </row>
    <row r="44">
      <c r="A44" s="35" t="n">
        <v>4</v>
      </c>
      <c r="B44" s="7">
        <f>IFERROR(AVERAGEIFS(DATA!$G$2:$G$1201, DATA!$E$2:$E$1201, "&gt;="&amp;(4.0-0.25), DATA!$E$2:$E$1201, "&lt;"&amp;(4.0+0.25), DATA!$M$2:$M$1201, 0), 0)</f>
        <v/>
      </c>
      <c r="C44" s="7">
        <f>IFERROR(AVERAGEIFS(DATA!$G$2:$G$1201, DATA!$E$2:$E$1201, "&gt;="&amp;(4.0-0.25), DATA!$E$2:$E$1201, "&lt;"&amp;(4.0+0.25), DATA!$M$2:$M$1201, 1), 0)</f>
        <v/>
      </c>
    </row>
    <row r="45">
      <c r="A45" s="35" t="n">
        <v>4.5</v>
      </c>
      <c r="B45" s="7">
        <f>IFERROR(AVERAGEIFS(DATA!$G$2:$G$1201, DATA!$E$2:$E$1201, "&gt;="&amp;(4.5-0.25), DATA!$E$2:$E$1201, "&lt;"&amp;(4.5+0.25), DATA!$M$2:$M$1201, 0), 0)</f>
        <v/>
      </c>
      <c r="C45" s="7">
        <f>IFERROR(AVERAGEIFS(DATA!$G$2:$G$1201, DATA!$E$2:$E$1201, "&gt;="&amp;(4.5-0.25), DATA!$E$2:$E$1201, "&lt;"&amp;(4.5+0.25), DATA!$M$2:$M$1201, 1), 0)</f>
        <v/>
      </c>
    </row>
    <row r="46">
      <c r="A46" s="35" t="n">
        <v>5</v>
      </c>
      <c r="B46" s="7">
        <f>IFERROR(AVERAGEIFS(DATA!$G$2:$G$1201, DATA!$E$2:$E$1201, "&gt;="&amp;(5.0-0.25), DATA!$E$2:$E$1201, "&lt;"&amp;(5.0+0.25), DATA!$M$2:$M$1201, 0), 0)</f>
        <v/>
      </c>
      <c r="C46" s="7">
        <f>IFERROR(AVERAGEIFS(DATA!$G$2:$G$1201, DATA!$E$2:$E$1201, "&gt;="&amp;(5.0-0.25), DATA!$E$2:$E$1201, "&lt;"&amp;(5.0+0.25), DATA!$M$2:$M$1201, 1), 0)</f>
        <v/>
      </c>
    </row>
    <row r="47">
      <c r="A47" s="35" t="n">
        <v>5.5</v>
      </c>
      <c r="B47" s="7">
        <f>IFERROR(AVERAGEIFS(DATA!$G$2:$G$1201, DATA!$E$2:$E$1201, "&gt;="&amp;(5.5-0.25), DATA!$E$2:$E$1201, "&lt;"&amp;(5.5+0.25), DATA!$M$2:$M$1201, 0), 0)</f>
        <v/>
      </c>
      <c r="C47" s="7">
        <f>IFERROR(AVERAGEIFS(DATA!$G$2:$G$1201, DATA!$E$2:$E$1201, "&gt;="&amp;(5.5-0.25), DATA!$E$2:$E$1201, "&lt;"&amp;(5.5+0.25), DATA!$M$2:$M$1201, 1), 0)</f>
        <v/>
      </c>
    </row>
    <row r="48">
      <c r="A48" s="35" t="n">
        <v>6</v>
      </c>
      <c r="B48" s="7">
        <f>IFERROR(AVERAGEIFS(DATA!$G$2:$G$1201, DATA!$E$2:$E$1201, "&gt;="&amp;(6.0-0.25), DATA!$E$2:$E$1201, "&lt;"&amp;(6.0+0.25), DATA!$M$2:$M$1201, 0), 0)</f>
        <v/>
      </c>
      <c r="C48" s="7">
        <f>IFERROR(AVERAGEIFS(DATA!$G$2:$G$1201, DATA!$E$2:$E$1201, "&gt;="&amp;(6.0-0.25), DATA!$E$2:$E$1201, "&lt;"&amp;(6.0+0.25), DATA!$M$2:$M$1201, 1), 0)</f>
        <v/>
      </c>
    </row>
    <row r="49">
      <c r="A49" s="35" t="n">
        <v>6.5</v>
      </c>
      <c r="B49" s="7">
        <f>IFERROR(AVERAGEIFS(DATA!$G$2:$G$1201, DATA!$E$2:$E$1201, "&gt;="&amp;(6.5-0.25), DATA!$E$2:$E$1201, "&lt;"&amp;(6.5+0.25), DATA!$M$2:$M$1201, 0), 0)</f>
        <v/>
      </c>
      <c r="C49" s="7">
        <f>IFERROR(AVERAGEIFS(DATA!$G$2:$G$1201, DATA!$E$2:$E$1201, "&gt;="&amp;(6.5-0.25), DATA!$E$2:$E$1201, "&lt;"&amp;(6.5+0.25), DATA!$M$2:$M$1201, 1), 0)</f>
        <v/>
      </c>
    </row>
    <row r="50">
      <c r="A50" s="35" t="n">
        <v>7</v>
      </c>
      <c r="B50" s="7">
        <f>IFERROR(AVERAGEIFS(DATA!$G$2:$G$1201, DATA!$E$2:$E$1201, "&gt;="&amp;(7.0-0.25), DATA!$E$2:$E$1201, "&lt;"&amp;(7.0+0.25), DATA!$M$2:$M$1201, 0), 0)</f>
        <v/>
      </c>
      <c r="C50" s="7">
        <f>IFERROR(AVERAGEIFS(DATA!$G$2:$G$1201, DATA!$E$2:$E$1201, "&gt;="&amp;(7.0-0.25), DATA!$E$2:$E$1201, "&lt;"&amp;(7.0+0.25), DATA!$M$2:$M$1201, 1), 0)</f>
        <v/>
      </c>
    </row>
    <row r="51">
      <c r="A51" s="35" t="n">
        <v>7.5</v>
      </c>
      <c r="B51" s="7">
        <f>IFERROR(AVERAGEIFS(DATA!$G$2:$G$1201, DATA!$E$2:$E$1201, "&gt;="&amp;(7.5-0.25), DATA!$E$2:$E$1201, "&lt;"&amp;(7.5+0.25), DATA!$M$2:$M$1201, 0), 0)</f>
        <v/>
      </c>
      <c r="C51" s="7">
        <f>IFERROR(AVERAGEIFS(DATA!$G$2:$G$1201, DATA!$E$2:$E$1201, "&gt;="&amp;(7.5-0.25), DATA!$E$2:$E$1201, "&lt;"&amp;(7.5+0.25), DATA!$M$2:$M$1201, 1), 0)</f>
        <v/>
      </c>
    </row>
    <row r="52">
      <c r="A52" s="35" t="n">
        <v>8</v>
      </c>
      <c r="B52" s="7">
        <f>IFERROR(AVERAGEIFS(DATA!$G$2:$G$1201, DATA!$E$2:$E$1201, "&gt;="&amp;(8.0-0.25), DATA!$E$2:$E$1201, "&lt;"&amp;(8.0+0.25), DATA!$M$2:$M$1201, 0), 0)</f>
        <v/>
      </c>
      <c r="C52" s="7">
        <f>IFERROR(AVERAGEIFS(DATA!$G$2:$G$1201, DATA!$E$2:$E$1201, "&gt;="&amp;(8.0-0.25), DATA!$E$2:$E$1201, "&lt;"&amp;(8.0+0.25), DATA!$M$2:$M$1201, 1), 0)</f>
        <v/>
      </c>
    </row>
    <row r="53">
      <c r="A53" s="35" t="n">
        <v>8.5</v>
      </c>
      <c r="B53" s="7">
        <f>IFERROR(AVERAGEIFS(DATA!$G$2:$G$1201, DATA!$E$2:$E$1201, "&gt;="&amp;(8.5-0.25), DATA!$E$2:$E$1201, "&lt;"&amp;(8.5+0.25), DATA!$M$2:$M$1201, 0), 0)</f>
        <v/>
      </c>
      <c r="C53" s="7">
        <f>IFERROR(AVERAGEIFS(DATA!$G$2:$G$1201, DATA!$E$2:$E$1201, "&gt;="&amp;(8.5-0.25), DATA!$E$2:$E$1201, "&lt;"&amp;(8.5+0.25), DATA!$M$2:$M$1201, 1), 0)</f>
        <v/>
      </c>
    </row>
  </sheetData>
  <mergeCells count="4">
    <mergeCell ref="A1:C1"/>
    <mergeCell ref="A42:C42"/>
    <mergeCell ref="A30:C30"/>
    <mergeCell ref="A15:C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"/>
  <sheetViews>
    <sheetView showGridLines="0" workbookViewId="0">
      <selection activeCell="A1" sqref="A1"/>
    </sheetView>
  </sheetViews>
  <sheetFormatPr baseColWidth="8" defaultRowHeight="15"/>
  <sheetData>
    <row r="1" ht="30" customHeight="1">
      <c r="A1" s="1" t="inlineStr">
        <is>
          <t>Analyse des corrélations avancées (Santé Mentale)</t>
        </is>
      </c>
    </row>
  </sheetData>
  <mergeCells count="1">
    <mergeCell ref="A1:O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2026-06-13T17:14:45Z</dcterms:created>
  <dcterms:modified xsi:type="dcterms:W3CDTF">2026-06-13T17:14:55Z</dcterms:modified>
</cp:coreProperties>
</file>